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as\Downloads\HARIR\App_Dev\Dashboard_Enterprise\"/>
    </mc:Choice>
  </mc:AlternateContent>
  <xr:revisionPtr revIDLastSave="0" documentId="13_ncr:1_{45334550-7637-4EFC-AD48-415B8F79482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shboard" sheetId="1" r:id="rId1"/>
    <sheet name="Referensi" sheetId="2" r:id="rId2"/>
    <sheet name="Data Proyek" sheetId="3" r:id="rId3"/>
    <sheet name="Kontrak Berjalan" sheetId="4" r:id="rId4"/>
  </sheets>
  <definedNames>
    <definedName name="_xlnm._FilterDatabase" localSheetId="2" hidden="1">'Data Proyek'!$A$4:$V$204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A7BgmP8f9EHJ9AgV6wqR4KY2j8OaJdpH6EqZSGdJJhY="/>
    </ext>
  </extLst>
</workbook>
</file>

<file path=xl/calcChain.xml><?xml version="1.0" encoding="utf-8"?>
<calcChain xmlns="http://schemas.openxmlformats.org/spreadsheetml/2006/main">
  <c r="P7" i="4" l="1"/>
  <c r="P6" i="4"/>
  <c r="P5" i="4"/>
  <c r="F5" i="4" a="1"/>
  <c r="E5" i="4" a="1"/>
  <c r="H5" i="4" a="1"/>
  <c r="G5" i="4" a="1"/>
  <c r="D5" i="4" a="1"/>
  <c r="C5" i="4" a="1"/>
  <c r="B5" i="4" a="1"/>
  <c r="A5" i="4" a="1"/>
  <c r="T204" i="3"/>
  <c r="W204" i="3" s="1"/>
  <c r="S204" i="3"/>
  <c r="R204" i="3"/>
  <c r="Q204" i="3"/>
  <c r="P204" i="3"/>
  <c r="B204" i="3" a="1"/>
  <c r="B204" i="3"/>
  <c r="A204" i="3"/>
  <c r="T203" i="3"/>
  <c r="W203" i="3" s="1"/>
  <c r="S203" i="3"/>
  <c r="R203" i="3"/>
  <c r="Q203" i="3"/>
  <c r="P203" i="3"/>
  <c r="B203" i="3" a="1"/>
  <c r="B203" i="3" s="1"/>
  <c r="A203" i="3"/>
  <c r="T202" i="3"/>
  <c r="W202" i="3" s="1"/>
  <c r="S202" i="3"/>
  <c r="R202" i="3"/>
  <c r="Q202" i="3"/>
  <c r="P202" i="3"/>
  <c r="B202" i="3" a="1"/>
  <c r="B202" i="3" s="1"/>
  <c r="A202" i="3"/>
  <c r="T201" i="3"/>
  <c r="W201" i="3" s="1"/>
  <c r="S201" i="3"/>
  <c r="R201" i="3"/>
  <c r="Q201" i="3"/>
  <c r="P201" i="3"/>
  <c r="B201" i="3" a="1"/>
  <c r="B201" i="3" s="1"/>
  <c r="A201" i="3"/>
  <c r="T200" i="3"/>
  <c r="W200" i="3" s="1"/>
  <c r="S200" i="3"/>
  <c r="R200" i="3"/>
  <c r="Q200" i="3"/>
  <c r="P200" i="3"/>
  <c r="B200" i="3" a="1"/>
  <c r="B200" i="3" s="1"/>
  <c r="A200" i="3"/>
  <c r="T199" i="3"/>
  <c r="W199" i="3" s="1"/>
  <c r="S199" i="3"/>
  <c r="R199" i="3"/>
  <c r="Q199" i="3"/>
  <c r="P199" i="3"/>
  <c r="B199" i="3" a="1"/>
  <c r="B199" i="3" s="1"/>
  <c r="A199" i="3"/>
  <c r="T198" i="3"/>
  <c r="W198" i="3" s="1"/>
  <c r="S198" i="3"/>
  <c r="R198" i="3"/>
  <c r="Q198" i="3"/>
  <c r="P198" i="3"/>
  <c r="B198" i="3" a="1"/>
  <c r="B198" i="3" s="1"/>
  <c r="A198" i="3"/>
  <c r="T197" i="3"/>
  <c r="W197" i="3" s="1"/>
  <c r="S197" i="3"/>
  <c r="R197" i="3"/>
  <c r="Q197" i="3"/>
  <c r="P197" i="3"/>
  <c r="B197" i="3" a="1"/>
  <c r="B197" i="3" s="1"/>
  <c r="A197" i="3"/>
  <c r="T196" i="3"/>
  <c r="W196" i="3" s="1"/>
  <c r="S196" i="3"/>
  <c r="R196" i="3"/>
  <c r="Q196" i="3"/>
  <c r="P196" i="3"/>
  <c r="B196" i="3" a="1"/>
  <c r="B196" i="3" s="1"/>
  <c r="A196" i="3"/>
  <c r="T195" i="3"/>
  <c r="W195" i="3" s="1"/>
  <c r="S195" i="3"/>
  <c r="R195" i="3"/>
  <c r="Q195" i="3"/>
  <c r="P195" i="3"/>
  <c r="B195" i="3" a="1"/>
  <c r="B195" i="3" s="1"/>
  <c r="A195" i="3"/>
  <c r="T194" i="3"/>
  <c r="W194" i="3" s="1"/>
  <c r="S194" i="3"/>
  <c r="R194" i="3"/>
  <c r="Q194" i="3"/>
  <c r="P194" i="3"/>
  <c r="B194" i="3" a="1"/>
  <c r="B194" i="3" s="1"/>
  <c r="A194" i="3"/>
  <c r="T193" i="3"/>
  <c r="W193" i="3" s="1"/>
  <c r="S193" i="3"/>
  <c r="R193" i="3"/>
  <c r="Q193" i="3"/>
  <c r="P193" i="3"/>
  <c r="B193" i="3" a="1"/>
  <c r="B193" i="3" s="1"/>
  <c r="A193" i="3"/>
  <c r="T192" i="3"/>
  <c r="W192" i="3" s="1"/>
  <c r="S192" i="3"/>
  <c r="R192" i="3"/>
  <c r="Q192" i="3"/>
  <c r="P192" i="3"/>
  <c r="B192" i="3" a="1"/>
  <c r="B192" i="3" s="1"/>
  <c r="A192" i="3"/>
  <c r="T191" i="3"/>
  <c r="W191" i="3" s="1"/>
  <c r="S191" i="3"/>
  <c r="R191" i="3"/>
  <c r="Q191" i="3"/>
  <c r="P191" i="3"/>
  <c r="B191" i="3" a="1"/>
  <c r="B191" i="3" s="1"/>
  <c r="A191" i="3"/>
  <c r="T190" i="3"/>
  <c r="W190" i="3" s="1"/>
  <c r="S190" i="3"/>
  <c r="R190" i="3"/>
  <c r="Q190" i="3"/>
  <c r="P190" i="3"/>
  <c r="B190" i="3" a="1"/>
  <c r="B190" i="3" s="1"/>
  <c r="A190" i="3"/>
  <c r="T189" i="3"/>
  <c r="W189" i="3" s="1"/>
  <c r="S189" i="3"/>
  <c r="R189" i="3"/>
  <c r="Q189" i="3"/>
  <c r="P189" i="3"/>
  <c r="B189" i="3" a="1"/>
  <c r="B189" i="3" s="1"/>
  <c r="A189" i="3"/>
  <c r="T188" i="3"/>
  <c r="W188" i="3" s="1"/>
  <c r="S188" i="3"/>
  <c r="R188" i="3"/>
  <c r="Q188" i="3"/>
  <c r="P188" i="3"/>
  <c r="B188" i="3" a="1"/>
  <c r="B188" i="3" s="1"/>
  <c r="A188" i="3"/>
  <c r="T187" i="3"/>
  <c r="W187" i="3" s="1"/>
  <c r="S187" i="3"/>
  <c r="R187" i="3"/>
  <c r="Q187" i="3"/>
  <c r="P187" i="3"/>
  <c r="B187" i="3" a="1"/>
  <c r="B187" i="3" s="1"/>
  <c r="A187" i="3"/>
  <c r="T186" i="3"/>
  <c r="W186" i="3" s="1"/>
  <c r="S186" i="3"/>
  <c r="R186" i="3"/>
  <c r="Q186" i="3"/>
  <c r="P186" i="3"/>
  <c r="B186" i="3" a="1"/>
  <c r="B186" i="3" s="1"/>
  <c r="A186" i="3"/>
  <c r="T185" i="3"/>
  <c r="W185" i="3" s="1"/>
  <c r="S185" i="3"/>
  <c r="R185" i="3"/>
  <c r="Q185" i="3"/>
  <c r="P185" i="3"/>
  <c r="B185" i="3" a="1"/>
  <c r="B185" i="3" s="1"/>
  <c r="A185" i="3"/>
  <c r="T184" i="3"/>
  <c r="W184" i="3" s="1"/>
  <c r="S184" i="3"/>
  <c r="R184" i="3"/>
  <c r="Q184" i="3"/>
  <c r="P184" i="3"/>
  <c r="B184" i="3" a="1"/>
  <c r="B184" i="3" s="1"/>
  <c r="A184" i="3"/>
  <c r="T183" i="3"/>
  <c r="W183" i="3" s="1"/>
  <c r="S183" i="3"/>
  <c r="R183" i="3"/>
  <c r="Q183" i="3"/>
  <c r="P183" i="3"/>
  <c r="B183" i="3" a="1"/>
  <c r="B183" i="3" s="1"/>
  <c r="A183" i="3"/>
  <c r="T182" i="3"/>
  <c r="W182" i="3" s="1"/>
  <c r="S182" i="3"/>
  <c r="R182" i="3"/>
  <c r="Q182" i="3"/>
  <c r="P182" i="3"/>
  <c r="B182" i="3" a="1"/>
  <c r="B182" i="3" s="1"/>
  <c r="A182" i="3"/>
  <c r="T181" i="3"/>
  <c r="W181" i="3" s="1"/>
  <c r="S181" i="3"/>
  <c r="R181" i="3"/>
  <c r="Q181" i="3"/>
  <c r="P181" i="3"/>
  <c r="B181" i="3" a="1"/>
  <c r="B181" i="3" s="1"/>
  <c r="A181" i="3"/>
  <c r="T180" i="3"/>
  <c r="W180" i="3" s="1"/>
  <c r="S180" i="3"/>
  <c r="R180" i="3"/>
  <c r="Q180" i="3"/>
  <c r="P180" i="3"/>
  <c r="B180" i="3" a="1"/>
  <c r="B180" i="3" s="1"/>
  <c r="A180" i="3"/>
  <c r="T179" i="3"/>
  <c r="W179" i="3" s="1"/>
  <c r="S179" i="3"/>
  <c r="R179" i="3"/>
  <c r="Q179" i="3"/>
  <c r="P179" i="3"/>
  <c r="B179" i="3" a="1"/>
  <c r="B179" i="3" s="1"/>
  <c r="A179" i="3"/>
  <c r="T178" i="3"/>
  <c r="W178" i="3" s="1"/>
  <c r="S178" i="3"/>
  <c r="R178" i="3"/>
  <c r="Q178" i="3"/>
  <c r="P178" i="3"/>
  <c r="B178" i="3" a="1"/>
  <c r="B178" i="3" s="1"/>
  <c r="A178" i="3"/>
  <c r="T177" i="3"/>
  <c r="W177" i="3" s="1"/>
  <c r="S177" i="3"/>
  <c r="R177" i="3"/>
  <c r="Q177" i="3"/>
  <c r="P177" i="3"/>
  <c r="B177" i="3" a="1"/>
  <c r="B177" i="3" s="1"/>
  <c r="A177" i="3"/>
  <c r="T176" i="3"/>
  <c r="W176" i="3" s="1"/>
  <c r="S176" i="3"/>
  <c r="R176" i="3"/>
  <c r="Q176" i="3"/>
  <c r="P176" i="3"/>
  <c r="B176" i="3" a="1"/>
  <c r="B176" i="3" s="1"/>
  <c r="A176" i="3"/>
  <c r="T175" i="3"/>
  <c r="W175" i="3" s="1"/>
  <c r="S175" i="3"/>
  <c r="R175" i="3"/>
  <c r="Q175" i="3"/>
  <c r="P175" i="3"/>
  <c r="B175" i="3" a="1"/>
  <c r="B175" i="3" s="1"/>
  <c r="A175" i="3"/>
  <c r="T174" i="3"/>
  <c r="W174" i="3" s="1"/>
  <c r="S174" i="3"/>
  <c r="R174" i="3"/>
  <c r="Q174" i="3"/>
  <c r="P174" i="3"/>
  <c r="B174" i="3" a="1"/>
  <c r="B174" i="3" s="1"/>
  <c r="A174" i="3"/>
  <c r="T173" i="3"/>
  <c r="W173" i="3" s="1"/>
  <c r="S173" i="3"/>
  <c r="R173" i="3"/>
  <c r="Q173" i="3"/>
  <c r="P173" i="3"/>
  <c r="B173" i="3" a="1"/>
  <c r="B173" i="3" s="1"/>
  <c r="A173" i="3"/>
  <c r="T172" i="3"/>
  <c r="W172" i="3" s="1"/>
  <c r="S172" i="3"/>
  <c r="R172" i="3"/>
  <c r="Q172" i="3"/>
  <c r="P172" i="3"/>
  <c r="B172" i="3" a="1"/>
  <c r="B172" i="3" s="1"/>
  <c r="A172" i="3"/>
  <c r="T171" i="3"/>
  <c r="W171" i="3" s="1"/>
  <c r="S171" i="3"/>
  <c r="R171" i="3"/>
  <c r="Q171" i="3"/>
  <c r="P171" i="3"/>
  <c r="B171" i="3" a="1"/>
  <c r="B171" i="3" s="1"/>
  <c r="A171" i="3"/>
  <c r="T170" i="3"/>
  <c r="W170" i="3" s="1"/>
  <c r="S170" i="3"/>
  <c r="R170" i="3"/>
  <c r="Q170" i="3"/>
  <c r="P170" i="3"/>
  <c r="B170" i="3" a="1"/>
  <c r="B170" i="3" s="1"/>
  <c r="A170" i="3"/>
  <c r="T169" i="3"/>
  <c r="W169" i="3" s="1"/>
  <c r="S169" i="3"/>
  <c r="R169" i="3"/>
  <c r="Q169" i="3"/>
  <c r="P169" i="3"/>
  <c r="B169" i="3" a="1"/>
  <c r="B169" i="3" s="1"/>
  <c r="A169" i="3"/>
  <c r="T168" i="3"/>
  <c r="W168" i="3" s="1"/>
  <c r="S168" i="3"/>
  <c r="R168" i="3"/>
  <c r="Q168" i="3"/>
  <c r="P168" i="3"/>
  <c r="B168" i="3" a="1"/>
  <c r="B168" i="3" s="1"/>
  <c r="A168" i="3"/>
  <c r="T167" i="3"/>
  <c r="W167" i="3" s="1"/>
  <c r="S167" i="3"/>
  <c r="R167" i="3"/>
  <c r="Q167" i="3"/>
  <c r="P167" i="3"/>
  <c r="B167" i="3" a="1"/>
  <c r="B167" i="3" s="1"/>
  <c r="A167" i="3"/>
  <c r="T166" i="3"/>
  <c r="W166" i="3" s="1"/>
  <c r="S166" i="3"/>
  <c r="R166" i="3"/>
  <c r="Q166" i="3"/>
  <c r="P166" i="3"/>
  <c r="B166" i="3" a="1"/>
  <c r="B166" i="3" s="1"/>
  <c r="A166" i="3"/>
  <c r="T165" i="3"/>
  <c r="W165" i="3" s="1"/>
  <c r="S165" i="3"/>
  <c r="R165" i="3"/>
  <c r="Q165" i="3"/>
  <c r="P165" i="3"/>
  <c r="B165" i="3" a="1"/>
  <c r="B165" i="3"/>
  <c r="A165" i="3"/>
  <c r="T164" i="3"/>
  <c r="W164" i="3" s="1"/>
  <c r="S164" i="3"/>
  <c r="R164" i="3"/>
  <c r="Q164" i="3"/>
  <c r="P164" i="3"/>
  <c r="B164" i="3" a="1"/>
  <c r="B164" i="3" s="1"/>
  <c r="A164" i="3"/>
  <c r="T163" i="3"/>
  <c r="W163" i="3" s="1"/>
  <c r="S163" i="3"/>
  <c r="R163" i="3"/>
  <c r="Q163" i="3"/>
  <c r="P163" i="3"/>
  <c r="B163" i="3" a="1"/>
  <c r="B163" i="3" s="1"/>
  <c r="A163" i="3"/>
  <c r="T162" i="3"/>
  <c r="W162" i="3" s="1"/>
  <c r="S162" i="3"/>
  <c r="R162" i="3"/>
  <c r="Q162" i="3"/>
  <c r="P162" i="3"/>
  <c r="B162" i="3" a="1"/>
  <c r="B162" i="3" s="1"/>
  <c r="A162" i="3"/>
  <c r="T161" i="3"/>
  <c r="W161" i="3" s="1"/>
  <c r="S161" i="3"/>
  <c r="R161" i="3"/>
  <c r="Q161" i="3"/>
  <c r="P161" i="3"/>
  <c r="B161" i="3" a="1"/>
  <c r="B161" i="3" s="1"/>
  <c r="A161" i="3"/>
  <c r="T160" i="3"/>
  <c r="W160" i="3" s="1"/>
  <c r="S160" i="3"/>
  <c r="R160" i="3"/>
  <c r="Q160" i="3"/>
  <c r="P160" i="3"/>
  <c r="B160" i="3" a="1"/>
  <c r="B160" i="3" s="1"/>
  <c r="A160" i="3"/>
  <c r="T159" i="3"/>
  <c r="W159" i="3" s="1"/>
  <c r="S159" i="3"/>
  <c r="R159" i="3"/>
  <c r="Q159" i="3"/>
  <c r="P159" i="3"/>
  <c r="B159" i="3" a="1"/>
  <c r="B159" i="3" s="1"/>
  <c r="A159" i="3"/>
  <c r="T158" i="3"/>
  <c r="W158" i="3" s="1"/>
  <c r="S158" i="3"/>
  <c r="R158" i="3"/>
  <c r="Q158" i="3"/>
  <c r="P158" i="3"/>
  <c r="B158" i="3" a="1"/>
  <c r="B158" i="3" s="1"/>
  <c r="A158" i="3"/>
  <c r="T157" i="3"/>
  <c r="W157" i="3" s="1"/>
  <c r="S157" i="3"/>
  <c r="R157" i="3"/>
  <c r="Q157" i="3"/>
  <c r="P157" i="3"/>
  <c r="B157" i="3" a="1"/>
  <c r="B157" i="3" s="1"/>
  <c r="A157" i="3"/>
  <c r="T156" i="3"/>
  <c r="W156" i="3" s="1"/>
  <c r="S156" i="3"/>
  <c r="R156" i="3"/>
  <c r="Q156" i="3"/>
  <c r="P156" i="3"/>
  <c r="B156" i="3" a="1"/>
  <c r="B156" i="3" s="1"/>
  <c r="A156" i="3"/>
  <c r="T155" i="3"/>
  <c r="W155" i="3" s="1"/>
  <c r="S155" i="3"/>
  <c r="R155" i="3"/>
  <c r="Q155" i="3"/>
  <c r="P155" i="3"/>
  <c r="B155" i="3" a="1"/>
  <c r="B155" i="3" s="1"/>
  <c r="A155" i="3"/>
  <c r="T154" i="3"/>
  <c r="W154" i="3" s="1"/>
  <c r="S154" i="3"/>
  <c r="R154" i="3"/>
  <c r="Q154" i="3"/>
  <c r="P154" i="3"/>
  <c r="B154" i="3" a="1"/>
  <c r="B154" i="3" s="1"/>
  <c r="A154" i="3"/>
  <c r="T153" i="3"/>
  <c r="W153" i="3" s="1"/>
  <c r="S153" i="3"/>
  <c r="R153" i="3"/>
  <c r="Q153" i="3"/>
  <c r="P153" i="3"/>
  <c r="B153" i="3" a="1"/>
  <c r="B153" i="3"/>
  <c r="A153" i="3"/>
  <c r="T152" i="3"/>
  <c r="W152" i="3" s="1"/>
  <c r="S152" i="3"/>
  <c r="R152" i="3"/>
  <c r="Q152" i="3"/>
  <c r="P152" i="3"/>
  <c r="B152" i="3" a="1"/>
  <c r="B152" i="3"/>
  <c r="A152" i="3"/>
  <c r="T151" i="3"/>
  <c r="W151" i="3" s="1"/>
  <c r="S151" i="3"/>
  <c r="R151" i="3"/>
  <c r="Q151" i="3"/>
  <c r="P151" i="3"/>
  <c r="B151" i="3" a="1"/>
  <c r="B151" i="3" s="1"/>
  <c r="A151" i="3"/>
  <c r="T150" i="3"/>
  <c r="W150" i="3" s="1"/>
  <c r="S150" i="3"/>
  <c r="R150" i="3"/>
  <c r="Q150" i="3"/>
  <c r="P150" i="3"/>
  <c r="B150" i="3" a="1"/>
  <c r="B150" i="3" s="1"/>
  <c r="A150" i="3"/>
  <c r="T149" i="3"/>
  <c r="W149" i="3" s="1"/>
  <c r="S149" i="3"/>
  <c r="R149" i="3"/>
  <c r="Q149" i="3"/>
  <c r="P149" i="3"/>
  <c r="B149" i="3" a="1"/>
  <c r="B149" i="3" s="1"/>
  <c r="A149" i="3"/>
  <c r="T148" i="3"/>
  <c r="W148" i="3" s="1"/>
  <c r="S148" i="3"/>
  <c r="R148" i="3"/>
  <c r="Q148" i="3"/>
  <c r="P148" i="3"/>
  <c r="B148" i="3" a="1"/>
  <c r="B148" i="3" s="1"/>
  <c r="A148" i="3"/>
  <c r="T147" i="3"/>
  <c r="W147" i="3" s="1"/>
  <c r="S147" i="3"/>
  <c r="R147" i="3"/>
  <c r="Q147" i="3"/>
  <c r="P147" i="3"/>
  <c r="B147" i="3" a="1"/>
  <c r="B147" i="3" s="1"/>
  <c r="A147" i="3"/>
  <c r="T146" i="3"/>
  <c r="W146" i="3" s="1"/>
  <c r="S146" i="3"/>
  <c r="R146" i="3"/>
  <c r="Q146" i="3"/>
  <c r="P146" i="3"/>
  <c r="B146" i="3" a="1"/>
  <c r="B146" i="3" s="1"/>
  <c r="A146" i="3"/>
  <c r="T145" i="3"/>
  <c r="W145" i="3" s="1"/>
  <c r="S145" i="3"/>
  <c r="R145" i="3"/>
  <c r="Q145" i="3"/>
  <c r="P145" i="3"/>
  <c r="B145" i="3" a="1"/>
  <c r="B145" i="3" s="1"/>
  <c r="A145" i="3"/>
  <c r="T144" i="3"/>
  <c r="W144" i="3" s="1"/>
  <c r="S144" i="3"/>
  <c r="R144" i="3"/>
  <c r="Q144" i="3"/>
  <c r="P144" i="3"/>
  <c r="B144" i="3" a="1"/>
  <c r="B144" i="3" s="1"/>
  <c r="A144" i="3"/>
  <c r="T143" i="3"/>
  <c r="W143" i="3" s="1"/>
  <c r="S143" i="3"/>
  <c r="R143" i="3"/>
  <c r="Q143" i="3"/>
  <c r="P143" i="3"/>
  <c r="B143" i="3" a="1"/>
  <c r="B143" i="3" s="1"/>
  <c r="A143" i="3"/>
  <c r="T142" i="3"/>
  <c r="W142" i="3" s="1"/>
  <c r="S142" i="3"/>
  <c r="R142" i="3"/>
  <c r="Q142" i="3"/>
  <c r="P142" i="3"/>
  <c r="B142" i="3" a="1"/>
  <c r="B142" i="3" s="1"/>
  <c r="A142" i="3"/>
  <c r="T141" i="3"/>
  <c r="W141" i="3" s="1"/>
  <c r="S141" i="3"/>
  <c r="R141" i="3"/>
  <c r="Q141" i="3"/>
  <c r="P141" i="3"/>
  <c r="B141" i="3" a="1"/>
  <c r="B141" i="3" s="1"/>
  <c r="A141" i="3"/>
  <c r="T140" i="3"/>
  <c r="W140" i="3" s="1"/>
  <c r="S140" i="3"/>
  <c r="R140" i="3"/>
  <c r="Q140" i="3"/>
  <c r="P140" i="3"/>
  <c r="B140" i="3" a="1"/>
  <c r="B140" i="3"/>
  <c r="A140" i="3"/>
  <c r="T139" i="3"/>
  <c r="W139" i="3" s="1"/>
  <c r="S139" i="3"/>
  <c r="R139" i="3"/>
  <c r="Q139" i="3"/>
  <c r="P139" i="3"/>
  <c r="B139" i="3" a="1"/>
  <c r="B139" i="3"/>
  <c r="A139" i="3"/>
  <c r="T138" i="3"/>
  <c r="W138" i="3" s="1"/>
  <c r="S138" i="3"/>
  <c r="R138" i="3"/>
  <c r="Q138" i="3"/>
  <c r="P138" i="3"/>
  <c r="B138" i="3" a="1"/>
  <c r="B138" i="3"/>
  <c r="A138" i="3"/>
  <c r="T137" i="3"/>
  <c r="W137" i="3" s="1"/>
  <c r="S137" i="3"/>
  <c r="R137" i="3"/>
  <c r="Q137" i="3"/>
  <c r="P137" i="3"/>
  <c r="B137" i="3" a="1"/>
  <c r="B137" i="3" s="1"/>
  <c r="A137" i="3"/>
  <c r="T136" i="3"/>
  <c r="W136" i="3" s="1"/>
  <c r="S136" i="3"/>
  <c r="R136" i="3"/>
  <c r="Q136" i="3"/>
  <c r="P136" i="3"/>
  <c r="B136" i="3" a="1"/>
  <c r="B136" i="3" s="1"/>
  <c r="A136" i="3"/>
  <c r="T135" i="3"/>
  <c r="W135" i="3" s="1"/>
  <c r="S135" i="3"/>
  <c r="R135" i="3"/>
  <c r="Q135" i="3"/>
  <c r="P135" i="3"/>
  <c r="B135" i="3" a="1"/>
  <c r="B135" i="3" s="1"/>
  <c r="A135" i="3"/>
  <c r="T134" i="3"/>
  <c r="W134" i="3" s="1"/>
  <c r="S134" i="3"/>
  <c r="R134" i="3"/>
  <c r="Q134" i="3"/>
  <c r="P134" i="3"/>
  <c r="B134" i="3" a="1"/>
  <c r="B134" i="3" s="1"/>
  <c r="A134" i="3"/>
  <c r="T133" i="3"/>
  <c r="W133" i="3" s="1"/>
  <c r="S133" i="3"/>
  <c r="R133" i="3"/>
  <c r="Q133" i="3"/>
  <c r="P133" i="3"/>
  <c r="B133" i="3" a="1"/>
  <c r="B133" i="3" s="1"/>
  <c r="A133" i="3"/>
  <c r="T132" i="3"/>
  <c r="W132" i="3" s="1"/>
  <c r="S132" i="3"/>
  <c r="R132" i="3"/>
  <c r="Q132" i="3"/>
  <c r="P132" i="3"/>
  <c r="B132" i="3" a="1"/>
  <c r="B132" i="3" s="1"/>
  <c r="A132" i="3"/>
  <c r="T131" i="3"/>
  <c r="W131" i="3" s="1"/>
  <c r="S131" i="3"/>
  <c r="R131" i="3"/>
  <c r="Q131" i="3"/>
  <c r="P131" i="3"/>
  <c r="B131" i="3" a="1"/>
  <c r="B131" i="3" s="1"/>
  <c r="A131" i="3"/>
  <c r="T130" i="3"/>
  <c r="W130" i="3" s="1"/>
  <c r="S130" i="3"/>
  <c r="R130" i="3"/>
  <c r="Q130" i="3"/>
  <c r="P130" i="3"/>
  <c r="B130" i="3" a="1"/>
  <c r="B130" i="3" s="1"/>
  <c r="A130" i="3"/>
  <c r="T129" i="3"/>
  <c r="W129" i="3" s="1"/>
  <c r="S129" i="3"/>
  <c r="R129" i="3"/>
  <c r="Q129" i="3"/>
  <c r="P129" i="3"/>
  <c r="B129" i="3" a="1"/>
  <c r="B129" i="3"/>
  <c r="A129" i="3"/>
  <c r="T128" i="3"/>
  <c r="W128" i="3" s="1"/>
  <c r="S128" i="3"/>
  <c r="R128" i="3"/>
  <c r="Q128" i="3"/>
  <c r="P128" i="3"/>
  <c r="B128" i="3" a="1"/>
  <c r="B128" i="3"/>
  <c r="A128" i="3"/>
  <c r="T127" i="3"/>
  <c r="W127" i="3" s="1"/>
  <c r="S127" i="3"/>
  <c r="R127" i="3"/>
  <c r="Q127" i="3"/>
  <c r="P127" i="3"/>
  <c r="B127" i="3" a="1"/>
  <c r="B127" i="3"/>
  <c r="A127" i="3"/>
  <c r="T126" i="3"/>
  <c r="W126" i="3" s="1"/>
  <c r="S126" i="3"/>
  <c r="R126" i="3"/>
  <c r="Q126" i="3"/>
  <c r="P126" i="3"/>
  <c r="B126" i="3" a="1"/>
  <c r="B126" i="3"/>
  <c r="A126" i="3"/>
  <c r="T125" i="3"/>
  <c r="W125" i="3" s="1"/>
  <c r="S125" i="3"/>
  <c r="R125" i="3"/>
  <c r="Q125" i="3"/>
  <c r="P125" i="3"/>
  <c r="B125" i="3" a="1"/>
  <c r="B125" i="3"/>
  <c r="A125" i="3"/>
  <c r="T124" i="3"/>
  <c r="W124" i="3" s="1"/>
  <c r="S124" i="3"/>
  <c r="R124" i="3"/>
  <c r="Q124" i="3"/>
  <c r="P124" i="3"/>
  <c r="B124" i="3" a="1"/>
  <c r="B124" i="3" s="1"/>
  <c r="A124" i="3"/>
  <c r="T123" i="3"/>
  <c r="W123" i="3" s="1"/>
  <c r="S123" i="3"/>
  <c r="R123" i="3"/>
  <c r="Q123" i="3"/>
  <c r="P123" i="3"/>
  <c r="B123" i="3" a="1"/>
  <c r="B123" i="3" s="1"/>
  <c r="A123" i="3"/>
  <c r="T122" i="3"/>
  <c r="W122" i="3" s="1"/>
  <c r="S122" i="3"/>
  <c r="R122" i="3"/>
  <c r="Q122" i="3"/>
  <c r="P122" i="3"/>
  <c r="B122" i="3" a="1"/>
  <c r="B122" i="3" s="1"/>
  <c r="A122" i="3"/>
  <c r="T121" i="3"/>
  <c r="W121" i="3" s="1"/>
  <c r="S121" i="3"/>
  <c r="R121" i="3"/>
  <c r="Q121" i="3"/>
  <c r="P121" i="3"/>
  <c r="B121" i="3" a="1"/>
  <c r="B121" i="3" s="1"/>
  <c r="A121" i="3"/>
  <c r="T120" i="3"/>
  <c r="W120" i="3" s="1"/>
  <c r="S120" i="3"/>
  <c r="R120" i="3"/>
  <c r="Q120" i="3"/>
  <c r="P120" i="3"/>
  <c r="B120" i="3" a="1"/>
  <c r="B120" i="3" s="1"/>
  <c r="A120" i="3"/>
  <c r="T119" i="3"/>
  <c r="W119" i="3" s="1"/>
  <c r="S119" i="3"/>
  <c r="R119" i="3"/>
  <c r="Q119" i="3"/>
  <c r="P119" i="3"/>
  <c r="B119" i="3" a="1"/>
  <c r="B119" i="3" s="1"/>
  <c r="A119" i="3"/>
  <c r="T118" i="3"/>
  <c r="W118" i="3" s="1"/>
  <c r="S118" i="3"/>
  <c r="R118" i="3"/>
  <c r="Q118" i="3"/>
  <c r="P118" i="3"/>
  <c r="B118" i="3" a="1"/>
  <c r="B118" i="3" s="1"/>
  <c r="A118" i="3"/>
  <c r="T117" i="3"/>
  <c r="W117" i="3" s="1"/>
  <c r="S117" i="3"/>
  <c r="R117" i="3"/>
  <c r="Q117" i="3"/>
  <c r="P117" i="3"/>
  <c r="B117" i="3" a="1"/>
  <c r="B117" i="3" s="1"/>
  <c r="A117" i="3"/>
  <c r="T116" i="3"/>
  <c r="W116" i="3" s="1"/>
  <c r="S116" i="3"/>
  <c r="R116" i="3"/>
  <c r="Q116" i="3"/>
  <c r="P116" i="3"/>
  <c r="B116" i="3" a="1"/>
  <c r="B116" i="3" s="1"/>
  <c r="A116" i="3"/>
  <c r="T115" i="3"/>
  <c r="W115" i="3" s="1"/>
  <c r="S115" i="3"/>
  <c r="R115" i="3"/>
  <c r="Q115" i="3"/>
  <c r="P115" i="3"/>
  <c r="B115" i="3" a="1"/>
  <c r="B115" i="3" s="1"/>
  <c r="A115" i="3"/>
  <c r="T114" i="3"/>
  <c r="W114" i="3" s="1"/>
  <c r="S114" i="3"/>
  <c r="R114" i="3"/>
  <c r="Q114" i="3"/>
  <c r="P114" i="3"/>
  <c r="B114" i="3" a="1"/>
  <c r="B114" i="3"/>
  <c r="A114" i="3"/>
  <c r="T113" i="3"/>
  <c r="W113" i="3" s="1"/>
  <c r="S113" i="3"/>
  <c r="R113" i="3"/>
  <c r="Q113" i="3"/>
  <c r="P113" i="3"/>
  <c r="B113" i="3" a="1"/>
  <c r="B113" i="3"/>
  <c r="A113" i="3"/>
  <c r="T112" i="3"/>
  <c r="W112" i="3" s="1"/>
  <c r="S112" i="3"/>
  <c r="R112" i="3"/>
  <c r="Q112" i="3"/>
  <c r="P112" i="3"/>
  <c r="B112" i="3" a="1"/>
  <c r="B112" i="3"/>
  <c r="A112" i="3"/>
  <c r="T111" i="3"/>
  <c r="W111" i="3" s="1"/>
  <c r="S111" i="3"/>
  <c r="R111" i="3"/>
  <c r="Q111" i="3"/>
  <c r="P111" i="3"/>
  <c r="B111" i="3" a="1"/>
  <c r="B111" i="3"/>
  <c r="A111" i="3"/>
  <c r="T110" i="3"/>
  <c r="W110" i="3" s="1"/>
  <c r="S110" i="3"/>
  <c r="R110" i="3"/>
  <c r="Q110" i="3"/>
  <c r="P110" i="3"/>
  <c r="B110" i="3" a="1"/>
  <c r="B110" i="3"/>
  <c r="A110" i="3"/>
  <c r="T109" i="3"/>
  <c r="W109" i="3" s="1"/>
  <c r="S109" i="3"/>
  <c r="R109" i="3"/>
  <c r="Q109" i="3"/>
  <c r="P109" i="3"/>
  <c r="B109" i="3" a="1"/>
  <c r="B109" i="3" s="1"/>
  <c r="A109" i="3"/>
  <c r="T108" i="3"/>
  <c r="W108" i="3" s="1"/>
  <c r="S108" i="3"/>
  <c r="R108" i="3"/>
  <c r="Q108" i="3"/>
  <c r="P108" i="3"/>
  <c r="B108" i="3" a="1"/>
  <c r="B108" i="3" s="1"/>
  <c r="A108" i="3"/>
  <c r="T107" i="3"/>
  <c r="W107" i="3" s="1"/>
  <c r="S107" i="3"/>
  <c r="R107" i="3"/>
  <c r="Q107" i="3"/>
  <c r="P107" i="3"/>
  <c r="B107" i="3" a="1"/>
  <c r="B107" i="3" s="1"/>
  <c r="A107" i="3"/>
  <c r="T106" i="3"/>
  <c r="W106" i="3" s="1"/>
  <c r="S106" i="3"/>
  <c r="R106" i="3"/>
  <c r="Q106" i="3"/>
  <c r="P106" i="3"/>
  <c r="B106" i="3" a="1"/>
  <c r="B106" i="3" s="1"/>
  <c r="A106" i="3"/>
  <c r="T105" i="3"/>
  <c r="W105" i="3" s="1"/>
  <c r="S105" i="3"/>
  <c r="R105" i="3"/>
  <c r="Q105" i="3"/>
  <c r="P105" i="3"/>
  <c r="B105" i="3" a="1"/>
  <c r="B105" i="3" s="1"/>
  <c r="A105" i="3"/>
  <c r="T104" i="3"/>
  <c r="W104" i="3" s="1"/>
  <c r="S104" i="3"/>
  <c r="R104" i="3"/>
  <c r="Q104" i="3"/>
  <c r="P104" i="3"/>
  <c r="B104" i="3" a="1"/>
  <c r="B104" i="3" s="1"/>
  <c r="A104" i="3"/>
  <c r="T103" i="3"/>
  <c r="W103" i="3" s="1"/>
  <c r="S103" i="3"/>
  <c r="R103" i="3"/>
  <c r="Q103" i="3"/>
  <c r="P103" i="3"/>
  <c r="B103" i="3" a="1"/>
  <c r="B103" i="3" s="1"/>
  <c r="A103" i="3"/>
  <c r="T102" i="3"/>
  <c r="W102" i="3" s="1"/>
  <c r="S102" i="3"/>
  <c r="R102" i="3"/>
  <c r="Q102" i="3"/>
  <c r="P102" i="3"/>
  <c r="B102" i="3" a="1"/>
  <c r="B102" i="3" s="1"/>
  <c r="A102" i="3"/>
  <c r="T101" i="3"/>
  <c r="W101" i="3" s="1"/>
  <c r="S101" i="3"/>
  <c r="R101" i="3"/>
  <c r="Q101" i="3"/>
  <c r="P101" i="3"/>
  <c r="B101" i="3" a="1"/>
  <c r="B101" i="3" s="1"/>
  <c r="A101" i="3"/>
  <c r="T100" i="3"/>
  <c r="W100" i="3" s="1"/>
  <c r="S100" i="3"/>
  <c r="R100" i="3"/>
  <c r="Q100" i="3"/>
  <c r="P100" i="3"/>
  <c r="B100" i="3" a="1"/>
  <c r="B100" i="3" s="1"/>
  <c r="A100" i="3"/>
  <c r="T99" i="3"/>
  <c r="W99" i="3" s="1"/>
  <c r="S99" i="3"/>
  <c r="R99" i="3"/>
  <c r="Q99" i="3"/>
  <c r="P99" i="3"/>
  <c r="B99" i="3" a="1"/>
  <c r="B99" i="3" s="1"/>
  <c r="A99" i="3"/>
  <c r="T98" i="3"/>
  <c r="W98" i="3" s="1"/>
  <c r="S98" i="3"/>
  <c r="R98" i="3"/>
  <c r="Q98" i="3"/>
  <c r="P98" i="3"/>
  <c r="B98" i="3" a="1"/>
  <c r="B98" i="3" s="1"/>
  <c r="A98" i="3"/>
  <c r="T97" i="3"/>
  <c r="W97" i="3" s="1"/>
  <c r="S97" i="3"/>
  <c r="R97" i="3"/>
  <c r="Q97" i="3"/>
  <c r="P97" i="3"/>
  <c r="B97" i="3" a="1"/>
  <c r="B97" i="3" s="1"/>
  <c r="A97" i="3"/>
  <c r="T96" i="3"/>
  <c r="W96" i="3" s="1"/>
  <c r="S96" i="3"/>
  <c r="R96" i="3"/>
  <c r="Q96" i="3"/>
  <c r="P96" i="3"/>
  <c r="B96" i="3" a="1"/>
  <c r="B96" i="3" s="1"/>
  <c r="A96" i="3"/>
  <c r="T95" i="3"/>
  <c r="W95" i="3" s="1"/>
  <c r="S95" i="3"/>
  <c r="R95" i="3"/>
  <c r="Q95" i="3"/>
  <c r="P95" i="3"/>
  <c r="B95" i="3" a="1"/>
  <c r="B95" i="3" s="1"/>
  <c r="A95" i="3"/>
  <c r="T94" i="3"/>
  <c r="W94" i="3" s="1"/>
  <c r="S94" i="3"/>
  <c r="R94" i="3"/>
  <c r="Q94" i="3"/>
  <c r="P94" i="3"/>
  <c r="B94" i="3" a="1"/>
  <c r="B94" i="3" s="1"/>
  <c r="A94" i="3"/>
  <c r="T93" i="3"/>
  <c r="W93" i="3" s="1"/>
  <c r="S93" i="3"/>
  <c r="R93" i="3"/>
  <c r="Q93" i="3"/>
  <c r="P93" i="3"/>
  <c r="B93" i="3" a="1"/>
  <c r="B93" i="3" s="1"/>
  <c r="A93" i="3"/>
  <c r="T92" i="3"/>
  <c r="W92" i="3" s="1"/>
  <c r="S92" i="3"/>
  <c r="R92" i="3"/>
  <c r="Q92" i="3"/>
  <c r="P92" i="3"/>
  <c r="B92" i="3" a="1"/>
  <c r="B92" i="3" s="1"/>
  <c r="A92" i="3"/>
  <c r="T91" i="3"/>
  <c r="W91" i="3" s="1"/>
  <c r="S91" i="3"/>
  <c r="R91" i="3"/>
  <c r="Q91" i="3"/>
  <c r="P91" i="3"/>
  <c r="B91" i="3" a="1"/>
  <c r="B91" i="3" s="1"/>
  <c r="A91" i="3"/>
  <c r="T90" i="3"/>
  <c r="W90" i="3" s="1"/>
  <c r="S90" i="3"/>
  <c r="R90" i="3"/>
  <c r="Q90" i="3"/>
  <c r="P90" i="3"/>
  <c r="B90" i="3" a="1"/>
  <c r="B90" i="3" s="1"/>
  <c r="A90" i="3"/>
  <c r="T89" i="3"/>
  <c r="W89" i="3" s="1"/>
  <c r="S89" i="3"/>
  <c r="R89" i="3"/>
  <c r="Q89" i="3"/>
  <c r="P89" i="3"/>
  <c r="B89" i="3" a="1"/>
  <c r="B89" i="3" s="1"/>
  <c r="A89" i="3"/>
  <c r="T88" i="3"/>
  <c r="W88" i="3" s="1"/>
  <c r="S88" i="3"/>
  <c r="R88" i="3"/>
  <c r="Q88" i="3"/>
  <c r="P88" i="3"/>
  <c r="B88" i="3" a="1"/>
  <c r="B88" i="3" s="1"/>
  <c r="A88" i="3"/>
  <c r="T87" i="3"/>
  <c r="W87" i="3" s="1"/>
  <c r="S87" i="3"/>
  <c r="R87" i="3"/>
  <c r="Q87" i="3"/>
  <c r="P87" i="3"/>
  <c r="B87" i="3" a="1"/>
  <c r="B87" i="3" s="1"/>
  <c r="A87" i="3"/>
  <c r="T86" i="3"/>
  <c r="W86" i="3" s="1"/>
  <c r="S86" i="3"/>
  <c r="R86" i="3"/>
  <c r="Q86" i="3"/>
  <c r="P86" i="3"/>
  <c r="B86" i="3" a="1"/>
  <c r="B86" i="3" s="1"/>
  <c r="A86" i="3"/>
  <c r="T85" i="3"/>
  <c r="W85" i="3" s="1"/>
  <c r="S85" i="3"/>
  <c r="R85" i="3"/>
  <c r="Q85" i="3"/>
  <c r="P85" i="3"/>
  <c r="B85" i="3" a="1"/>
  <c r="B85" i="3" s="1"/>
  <c r="A85" i="3"/>
  <c r="T84" i="3"/>
  <c r="W84" i="3" s="1"/>
  <c r="S84" i="3"/>
  <c r="R84" i="3"/>
  <c r="Q84" i="3"/>
  <c r="P84" i="3"/>
  <c r="B84" i="3" a="1"/>
  <c r="B84" i="3" s="1"/>
  <c r="A84" i="3"/>
  <c r="T83" i="3"/>
  <c r="W83" i="3" s="1"/>
  <c r="S83" i="3"/>
  <c r="R83" i="3"/>
  <c r="Q83" i="3"/>
  <c r="P83" i="3"/>
  <c r="B83" i="3" a="1"/>
  <c r="B83" i="3" s="1"/>
  <c r="A83" i="3"/>
  <c r="T82" i="3"/>
  <c r="W82" i="3" s="1"/>
  <c r="S82" i="3"/>
  <c r="R82" i="3"/>
  <c r="Q82" i="3"/>
  <c r="P82" i="3"/>
  <c r="B82" i="3" a="1"/>
  <c r="B82" i="3" s="1"/>
  <c r="A82" i="3"/>
  <c r="T81" i="3"/>
  <c r="W81" i="3" s="1"/>
  <c r="S81" i="3"/>
  <c r="R81" i="3"/>
  <c r="Q81" i="3"/>
  <c r="P81" i="3"/>
  <c r="B81" i="3" a="1"/>
  <c r="B81" i="3" s="1"/>
  <c r="A81" i="3"/>
  <c r="T80" i="3"/>
  <c r="W80" i="3" s="1"/>
  <c r="S80" i="3"/>
  <c r="R80" i="3"/>
  <c r="Q80" i="3"/>
  <c r="P80" i="3"/>
  <c r="B80" i="3" a="1"/>
  <c r="B80" i="3" s="1"/>
  <c r="A80" i="3"/>
  <c r="T79" i="3"/>
  <c r="W79" i="3" s="1"/>
  <c r="S79" i="3"/>
  <c r="R79" i="3"/>
  <c r="Q79" i="3"/>
  <c r="P79" i="3"/>
  <c r="B79" i="3" a="1"/>
  <c r="B79" i="3" s="1"/>
  <c r="A79" i="3"/>
  <c r="T78" i="3"/>
  <c r="W78" i="3" s="1"/>
  <c r="S78" i="3"/>
  <c r="R78" i="3"/>
  <c r="Q78" i="3"/>
  <c r="P78" i="3"/>
  <c r="B78" i="3" a="1"/>
  <c r="B78" i="3" s="1"/>
  <c r="A78" i="3"/>
  <c r="T77" i="3"/>
  <c r="W77" i="3" s="1"/>
  <c r="S77" i="3"/>
  <c r="R77" i="3"/>
  <c r="Q77" i="3"/>
  <c r="P77" i="3"/>
  <c r="B77" i="3" a="1"/>
  <c r="B77" i="3" s="1"/>
  <c r="A77" i="3"/>
  <c r="T76" i="3"/>
  <c r="W76" i="3" s="1"/>
  <c r="S76" i="3"/>
  <c r="R76" i="3"/>
  <c r="Q76" i="3"/>
  <c r="P76" i="3"/>
  <c r="B76" i="3" a="1"/>
  <c r="B76" i="3" s="1"/>
  <c r="A76" i="3"/>
  <c r="T75" i="3"/>
  <c r="W75" i="3" s="1"/>
  <c r="S75" i="3"/>
  <c r="R75" i="3"/>
  <c r="Q75" i="3"/>
  <c r="P75" i="3"/>
  <c r="B75" i="3" a="1"/>
  <c r="B75" i="3" s="1"/>
  <c r="A75" i="3"/>
  <c r="T74" i="3"/>
  <c r="W74" i="3" s="1"/>
  <c r="S74" i="3"/>
  <c r="R74" i="3"/>
  <c r="Q74" i="3"/>
  <c r="P74" i="3"/>
  <c r="B74" i="3" a="1"/>
  <c r="B74" i="3" s="1"/>
  <c r="A74" i="3"/>
  <c r="T73" i="3"/>
  <c r="W73" i="3" s="1"/>
  <c r="S73" i="3"/>
  <c r="R73" i="3"/>
  <c r="Q73" i="3"/>
  <c r="P73" i="3"/>
  <c r="B73" i="3" a="1"/>
  <c r="B73" i="3" s="1"/>
  <c r="A73" i="3"/>
  <c r="T72" i="3"/>
  <c r="W72" i="3" s="1"/>
  <c r="S72" i="3"/>
  <c r="R72" i="3"/>
  <c r="Q72" i="3"/>
  <c r="P72" i="3"/>
  <c r="B72" i="3" a="1"/>
  <c r="B72" i="3" s="1"/>
  <c r="A72" i="3"/>
  <c r="T71" i="3"/>
  <c r="W71" i="3" s="1"/>
  <c r="S71" i="3"/>
  <c r="R71" i="3"/>
  <c r="Q71" i="3"/>
  <c r="P71" i="3"/>
  <c r="B71" i="3" a="1"/>
  <c r="B71" i="3" s="1"/>
  <c r="A71" i="3"/>
  <c r="T70" i="3"/>
  <c r="W70" i="3" s="1"/>
  <c r="S70" i="3"/>
  <c r="R70" i="3"/>
  <c r="Q70" i="3"/>
  <c r="P70" i="3"/>
  <c r="B70" i="3" a="1"/>
  <c r="B70" i="3" s="1"/>
  <c r="A70" i="3"/>
  <c r="T69" i="3"/>
  <c r="W69" i="3" s="1"/>
  <c r="S69" i="3"/>
  <c r="R69" i="3"/>
  <c r="Q69" i="3"/>
  <c r="P69" i="3"/>
  <c r="B69" i="3" a="1"/>
  <c r="B69" i="3" s="1"/>
  <c r="A69" i="3"/>
  <c r="T68" i="3"/>
  <c r="W68" i="3" s="1"/>
  <c r="S68" i="3"/>
  <c r="R68" i="3"/>
  <c r="Q68" i="3"/>
  <c r="P68" i="3"/>
  <c r="B68" i="3" a="1"/>
  <c r="B68" i="3" s="1"/>
  <c r="A68" i="3"/>
  <c r="T67" i="3"/>
  <c r="W67" i="3" s="1"/>
  <c r="S67" i="3"/>
  <c r="R67" i="3"/>
  <c r="Q67" i="3"/>
  <c r="P67" i="3"/>
  <c r="B67" i="3" a="1"/>
  <c r="B67" i="3" s="1"/>
  <c r="A67" i="3"/>
  <c r="T66" i="3"/>
  <c r="W66" i="3" s="1"/>
  <c r="S66" i="3"/>
  <c r="R66" i="3"/>
  <c r="Q66" i="3"/>
  <c r="P66" i="3"/>
  <c r="B66" i="3" a="1"/>
  <c r="B66" i="3" s="1"/>
  <c r="A66" i="3"/>
  <c r="T65" i="3"/>
  <c r="W65" i="3" s="1"/>
  <c r="S65" i="3"/>
  <c r="R65" i="3"/>
  <c r="Q65" i="3"/>
  <c r="P65" i="3"/>
  <c r="B65" i="3" a="1"/>
  <c r="B65" i="3" s="1"/>
  <c r="A65" i="3"/>
  <c r="T64" i="3"/>
  <c r="W64" i="3" s="1"/>
  <c r="S64" i="3"/>
  <c r="R64" i="3"/>
  <c r="Q64" i="3"/>
  <c r="P64" i="3"/>
  <c r="B64" i="3" a="1"/>
  <c r="B64" i="3" s="1"/>
  <c r="A64" i="3"/>
  <c r="T63" i="3"/>
  <c r="W63" i="3" s="1"/>
  <c r="S63" i="3"/>
  <c r="R63" i="3"/>
  <c r="Q63" i="3"/>
  <c r="P63" i="3"/>
  <c r="B63" i="3" a="1"/>
  <c r="B63" i="3" s="1"/>
  <c r="A63" i="3"/>
  <c r="T62" i="3"/>
  <c r="W62" i="3" s="1"/>
  <c r="S62" i="3"/>
  <c r="R62" i="3"/>
  <c r="Q62" i="3"/>
  <c r="P62" i="3"/>
  <c r="B62" i="3" a="1"/>
  <c r="B62" i="3" s="1"/>
  <c r="A62" i="3"/>
  <c r="T61" i="3"/>
  <c r="W61" i="3" s="1"/>
  <c r="S61" i="3"/>
  <c r="R61" i="3"/>
  <c r="Q61" i="3"/>
  <c r="P61" i="3"/>
  <c r="B61" i="3" a="1"/>
  <c r="B61" i="3" s="1"/>
  <c r="A61" i="3"/>
  <c r="T60" i="3"/>
  <c r="W60" i="3" s="1"/>
  <c r="S60" i="3"/>
  <c r="R60" i="3"/>
  <c r="Q60" i="3"/>
  <c r="P60" i="3"/>
  <c r="B60" i="3" a="1"/>
  <c r="B60" i="3" s="1"/>
  <c r="A60" i="3"/>
  <c r="T59" i="3"/>
  <c r="W59" i="3" s="1"/>
  <c r="S59" i="3"/>
  <c r="R59" i="3"/>
  <c r="Q59" i="3"/>
  <c r="P59" i="3"/>
  <c r="B59" i="3" a="1"/>
  <c r="B59" i="3" s="1"/>
  <c r="A59" i="3"/>
  <c r="T58" i="3"/>
  <c r="W58" i="3" s="1"/>
  <c r="S58" i="3"/>
  <c r="R58" i="3"/>
  <c r="Q58" i="3"/>
  <c r="P58" i="3"/>
  <c r="B58" i="3" a="1"/>
  <c r="B58" i="3" s="1"/>
  <c r="A58" i="3"/>
  <c r="T57" i="3"/>
  <c r="W57" i="3" s="1"/>
  <c r="S57" i="3"/>
  <c r="R57" i="3"/>
  <c r="Q57" i="3"/>
  <c r="P57" i="3"/>
  <c r="B57" i="3" a="1"/>
  <c r="B57" i="3" s="1"/>
  <c r="A57" i="3"/>
  <c r="T56" i="3"/>
  <c r="W56" i="3" s="1"/>
  <c r="S56" i="3"/>
  <c r="R56" i="3"/>
  <c r="Q56" i="3"/>
  <c r="P56" i="3"/>
  <c r="B56" i="3" a="1"/>
  <c r="B56" i="3" s="1"/>
  <c r="A56" i="3"/>
  <c r="T55" i="3"/>
  <c r="W55" i="3" s="1"/>
  <c r="S55" i="3"/>
  <c r="R55" i="3"/>
  <c r="Q55" i="3"/>
  <c r="P55" i="3"/>
  <c r="B55" i="3" a="1"/>
  <c r="B55" i="3" s="1"/>
  <c r="A55" i="3"/>
  <c r="T54" i="3"/>
  <c r="W54" i="3" s="1"/>
  <c r="S54" i="3"/>
  <c r="R54" i="3"/>
  <c r="Q54" i="3"/>
  <c r="P54" i="3"/>
  <c r="B54" i="3" a="1"/>
  <c r="B54" i="3" s="1"/>
  <c r="A54" i="3"/>
  <c r="T53" i="3"/>
  <c r="W53" i="3" s="1"/>
  <c r="S53" i="3"/>
  <c r="R53" i="3"/>
  <c r="Q53" i="3"/>
  <c r="P53" i="3"/>
  <c r="B53" i="3" a="1"/>
  <c r="B53" i="3" s="1"/>
  <c r="A53" i="3"/>
  <c r="T52" i="3"/>
  <c r="W52" i="3" s="1"/>
  <c r="S52" i="3"/>
  <c r="R52" i="3"/>
  <c r="Q52" i="3"/>
  <c r="P52" i="3"/>
  <c r="B52" i="3" a="1"/>
  <c r="B52" i="3" s="1"/>
  <c r="A52" i="3"/>
  <c r="T51" i="3"/>
  <c r="W51" i="3" s="1"/>
  <c r="S51" i="3"/>
  <c r="R51" i="3"/>
  <c r="Q51" i="3"/>
  <c r="P51" i="3"/>
  <c r="B51" i="3" a="1"/>
  <c r="B51" i="3" s="1"/>
  <c r="A51" i="3"/>
  <c r="T50" i="3"/>
  <c r="W50" i="3" s="1"/>
  <c r="S50" i="3"/>
  <c r="R50" i="3"/>
  <c r="Q50" i="3"/>
  <c r="P50" i="3"/>
  <c r="B50" i="3" a="1"/>
  <c r="B50" i="3" s="1"/>
  <c r="A50" i="3"/>
  <c r="T49" i="3"/>
  <c r="W49" i="3" s="1"/>
  <c r="S49" i="3"/>
  <c r="R49" i="3"/>
  <c r="Q49" i="3"/>
  <c r="P49" i="3"/>
  <c r="B49" i="3" a="1"/>
  <c r="B49" i="3" s="1"/>
  <c r="A49" i="3"/>
  <c r="T48" i="3"/>
  <c r="W48" i="3" s="1"/>
  <c r="S48" i="3"/>
  <c r="R48" i="3"/>
  <c r="Q48" i="3"/>
  <c r="P48" i="3"/>
  <c r="B48" i="3" a="1"/>
  <c r="B48" i="3" s="1"/>
  <c r="A48" i="3"/>
  <c r="T47" i="3"/>
  <c r="W47" i="3" s="1"/>
  <c r="S47" i="3"/>
  <c r="R47" i="3"/>
  <c r="Q47" i="3"/>
  <c r="P47" i="3"/>
  <c r="B47" i="3" a="1"/>
  <c r="B47" i="3" s="1"/>
  <c r="A47" i="3"/>
  <c r="T46" i="3"/>
  <c r="W46" i="3" s="1"/>
  <c r="S46" i="3"/>
  <c r="R46" i="3"/>
  <c r="Q46" i="3"/>
  <c r="P46" i="3"/>
  <c r="B46" i="3" a="1"/>
  <c r="B46" i="3" s="1"/>
  <c r="A46" i="3"/>
  <c r="T45" i="3"/>
  <c r="W45" i="3" s="1"/>
  <c r="S45" i="3"/>
  <c r="R45" i="3"/>
  <c r="Q45" i="3"/>
  <c r="P45" i="3"/>
  <c r="B45" i="3" a="1"/>
  <c r="B45" i="3" s="1"/>
  <c r="A45" i="3"/>
  <c r="T44" i="3"/>
  <c r="W44" i="3" s="1"/>
  <c r="S44" i="3"/>
  <c r="R44" i="3"/>
  <c r="Q44" i="3"/>
  <c r="P44" i="3"/>
  <c r="B44" i="3" a="1"/>
  <c r="B44" i="3" s="1"/>
  <c r="A44" i="3"/>
  <c r="T43" i="3"/>
  <c r="W43" i="3" s="1"/>
  <c r="S43" i="3"/>
  <c r="R43" i="3"/>
  <c r="Q43" i="3"/>
  <c r="P43" i="3"/>
  <c r="B43" i="3" a="1"/>
  <c r="B43" i="3" s="1"/>
  <c r="A43" i="3"/>
  <c r="T42" i="3"/>
  <c r="W42" i="3" s="1"/>
  <c r="S42" i="3"/>
  <c r="R42" i="3"/>
  <c r="Q42" i="3"/>
  <c r="P42" i="3"/>
  <c r="B42" i="3" a="1"/>
  <c r="B42" i="3" s="1"/>
  <c r="A42" i="3"/>
  <c r="T41" i="3"/>
  <c r="W41" i="3" s="1"/>
  <c r="S41" i="3"/>
  <c r="R41" i="3"/>
  <c r="Q41" i="3"/>
  <c r="P41" i="3"/>
  <c r="B41" i="3" a="1"/>
  <c r="B41" i="3" s="1"/>
  <c r="A41" i="3"/>
  <c r="T40" i="3"/>
  <c r="W40" i="3" s="1"/>
  <c r="S40" i="3"/>
  <c r="R40" i="3"/>
  <c r="Q40" i="3"/>
  <c r="P40" i="3"/>
  <c r="B40" i="3" a="1"/>
  <c r="B40" i="3" s="1"/>
  <c r="A40" i="3"/>
  <c r="T39" i="3"/>
  <c r="W39" i="3" s="1"/>
  <c r="S39" i="3"/>
  <c r="R39" i="3"/>
  <c r="Q39" i="3"/>
  <c r="P39" i="3"/>
  <c r="B39" i="3" a="1"/>
  <c r="B39" i="3" s="1"/>
  <c r="A39" i="3"/>
  <c r="T38" i="3"/>
  <c r="W38" i="3" s="1"/>
  <c r="S38" i="3"/>
  <c r="R38" i="3"/>
  <c r="Q38" i="3"/>
  <c r="P38" i="3"/>
  <c r="B38" i="3" a="1"/>
  <c r="B38" i="3" s="1"/>
  <c r="A38" i="3"/>
  <c r="T37" i="3"/>
  <c r="W37" i="3" s="1"/>
  <c r="S37" i="3"/>
  <c r="R37" i="3"/>
  <c r="Q37" i="3"/>
  <c r="P37" i="3"/>
  <c r="B37" i="3" a="1"/>
  <c r="B37" i="3"/>
  <c r="A37" i="3"/>
  <c r="T36" i="3"/>
  <c r="W36" i="3" s="1"/>
  <c r="S36" i="3"/>
  <c r="R36" i="3"/>
  <c r="Q36" i="3"/>
  <c r="P36" i="3"/>
  <c r="B36" i="3" a="1"/>
  <c r="B36" i="3"/>
  <c r="A36" i="3"/>
  <c r="T35" i="3"/>
  <c r="W35" i="3" s="1"/>
  <c r="S35" i="3"/>
  <c r="R35" i="3"/>
  <c r="Q35" i="3"/>
  <c r="P35" i="3"/>
  <c r="B35" i="3" a="1"/>
  <c r="B35" i="3"/>
  <c r="A35" i="3"/>
  <c r="T34" i="3"/>
  <c r="W34" i="3" s="1"/>
  <c r="S34" i="3"/>
  <c r="R34" i="3"/>
  <c r="Q34" i="3"/>
  <c r="P34" i="3"/>
  <c r="B34" i="3" a="1"/>
  <c r="B34" i="3"/>
  <c r="A34" i="3"/>
  <c r="T33" i="3"/>
  <c r="W33" i="3" s="1"/>
  <c r="S33" i="3"/>
  <c r="R33" i="3"/>
  <c r="Q33" i="3"/>
  <c r="P33" i="3"/>
  <c r="B33" i="3" a="1"/>
  <c r="B33" i="3"/>
  <c r="A33" i="3"/>
  <c r="T32" i="3"/>
  <c r="W32" i="3" s="1"/>
  <c r="S32" i="3"/>
  <c r="R32" i="3"/>
  <c r="Q32" i="3"/>
  <c r="P32" i="3"/>
  <c r="B32" i="3" a="1"/>
  <c r="B32" i="3"/>
  <c r="A32" i="3"/>
  <c r="T31" i="3"/>
  <c r="W31" i="3" s="1"/>
  <c r="S31" i="3"/>
  <c r="R31" i="3"/>
  <c r="Q31" i="3"/>
  <c r="P31" i="3"/>
  <c r="B31" i="3" a="1"/>
  <c r="B31" i="3"/>
  <c r="A31" i="3"/>
  <c r="T30" i="3"/>
  <c r="W30" i="3" s="1"/>
  <c r="S30" i="3"/>
  <c r="R30" i="3"/>
  <c r="Q30" i="3"/>
  <c r="P30" i="3"/>
  <c r="B30" i="3" a="1"/>
  <c r="B30" i="3"/>
  <c r="A30" i="3"/>
  <c r="T29" i="3"/>
  <c r="W29" i="3" s="1"/>
  <c r="S29" i="3"/>
  <c r="R29" i="3"/>
  <c r="Q29" i="3"/>
  <c r="P29" i="3"/>
  <c r="B29" i="3" a="1"/>
  <c r="B29" i="3" s="1"/>
  <c r="A29" i="3"/>
  <c r="T28" i="3"/>
  <c r="W28" i="3" s="1"/>
  <c r="S28" i="3"/>
  <c r="R28" i="3"/>
  <c r="Q28" i="3"/>
  <c r="P28" i="3"/>
  <c r="B28" i="3" a="1"/>
  <c r="B28" i="3" s="1"/>
  <c r="A28" i="3"/>
  <c r="T27" i="3"/>
  <c r="W27" i="3" s="1"/>
  <c r="S27" i="3"/>
  <c r="R27" i="3"/>
  <c r="Q27" i="3"/>
  <c r="P27" i="3"/>
  <c r="B27" i="3" a="1"/>
  <c r="B27" i="3" s="1"/>
  <c r="A27" i="3"/>
  <c r="T26" i="3"/>
  <c r="W26" i="3" s="1"/>
  <c r="S26" i="3"/>
  <c r="R26" i="3"/>
  <c r="Q26" i="3"/>
  <c r="P26" i="3"/>
  <c r="B26" i="3" a="1"/>
  <c r="B26" i="3" s="1"/>
  <c r="A26" i="3"/>
  <c r="T25" i="3"/>
  <c r="W25" i="3" s="1"/>
  <c r="S25" i="3"/>
  <c r="R25" i="3"/>
  <c r="Q25" i="3"/>
  <c r="P25" i="3"/>
  <c r="B25" i="3" a="1"/>
  <c r="B25" i="3" s="1"/>
  <c r="A25" i="3"/>
  <c r="T24" i="3"/>
  <c r="W24" i="3" s="1"/>
  <c r="S24" i="3"/>
  <c r="R24" i="3"/>
  <c r="Q24" i="3"/>
  <c r="P24" i="3"/>
  <c r="B24" i="3" a="1"/>
  <c r="B24" i="3" s="1"/>
  <c r="A24" i="3"/>
  <c r="T23" i="3"/>
  <c r="W23" i="3" s="1"/>
  <c r="S23" i="3"/>
  <c r="R23" i="3"/>
  <c r="Q23" i="3"/>
  <c r="P23" i="3"/>
  <c r="B23" i="3" a="1"/>
  <c r="B23" i="3"/>
  <c r="A23" i="3"/>
  <c r="T22" i="3"/>
  <c r="W22" i="3" s="1"/>
  <c r="S22" i="3"/>
  <c r="R22" i="3"/>
  <c r="Q22" i="3"/>
  <c r="P22" i="3"/>
  <c r="B22" i="3" a="1"/>
  <c r="B22" i="3"/>
  <c r="A22" i="3"/>
  <c r="R21" i="3"/>
  <c r="Q21" i="3"/>
  <c r="S21" i="3" s="1"/>
  <c r="T21" i="3" s="1"/>
  <c r="W21" i="3" s="1"/>
  <c r="P21" i="3"/>
  <c r="B21" i="3" a="1"/>
  <c r="B21" i="3" s="1"/>
  <c r="A21" i="3"/>
  <c r="R20" i="3"/>
  <c r="Q20" i="3"/>
  <c r="S20" i="3" s="1"/>
  <c r="T20" i="3" s="1"/>
  <c r="W20" i="3" s="1"/>
  <c r="P20" i="3"/>
  <c r="B20" i="3" a="1"/>
  <c r="B20" i="3" s="1"/>
  <c r="A20" i="3"/>
  <c r="R19" i="3"/>
  <c r="Q19" i="3"/>
  <c r="S19" i="3" s="1"/>
  <c r="T19" i="3" s="1"/>
  <c r="W19" i="3" s="1"/>
  <c r="P19" i="3"/>
  <c r="B19" i="3" a="1"/>
  <c r="B19" i="3" s="1"/>
  <c r="A19" i="3"/>
  <c r="R18" i="3"/>
  <c r="Q18" i="3"/>
  <c r="S18" i="3" s="1"/>
  <c r="T18" i="3" s="1"/>
  <c r="W18" i="3" s="1"/>
  <c r="P18" i="3"/>
  <c r="B18" i="3" a="1"/>
  <c r="B18" i="3" s="1"/>
  <c r="A18" i="3"/>
  <c r="R17" i="3"/>
  <c r="Q17" i="3"/>
  <c r="S17" i="3" s="1"/>
  <c r="T17" i="3" s="1"/>
  <c r="W17" i="3" s="1"/>
  <c r="P17" i="3"/>
  <c r="B17" i="3" a="1"/>
  <c r="B17" i="3" s="1"/>
  <c r="A17" i="3"/>
  <c r="R16" i="3"/>
  <c r="Q16" i="3"/>
  <c r="S16" i="3" s="1"/>
  <c r="T16" i="3" s="1"/>
  <c r="W16" i="3" s="1"/>
  <c r="P16" i="3"/>
  <c r="B16" i="3" a="1"/>
  <c r="B16" i="3" s="1"/>
  <c r="A16" i="3"/>
  <c r="R15" i="3"/>
  <c r="Q15" i="3"/>
  <c r="S15" i="3" s="1"/>
  <c r="T15" i="3" s="1"/>
  <c r="W15" i="3" s="1"/>
  <c r="P15" i="3"/>
  <c r="B15" i="3" a="1"/>
  <c r="B15" i="3" s="1"/>
  <c r="A15" i="3"/>
  <c r="R14" i="3"/>
  <c r="Q14" i="3"/>
  <c r="S14" i="3" s="1"/>
  <c r="T14" i="3" s="1"/>
  <c r="W14" i="3" s="1"/>
  <c r="P14" i="3"/>
  <c r="B14" i="3" a="1"/>
  <c r="B14" i="3" s="1"/>
  <c r="A14" i="3"/>
  <c r="R13" i="3"/>
  <c r="Q13" i="3"/>
  <c r="S13" i="3" s="1"/>
  <c r="T13" i="3" s="1"/>
  <c r="W13" i="3" s="1"/>
  <c r="P13" i="3"/>
  <c r="B13" i="3" a="1"/>
  <c r="B13" i="3" s="1"/>
  <c r="A13" i="3"/>
  <c r="R12" i="3"/>
  <c r="Q12" i="3"/>
  <c r="S12" i="3" s="1"/>
  <c r="T12" i="3" s="1"/>
  <c r="W12" i="3" s="1"/>
  <c r="P12" i="3"/>
  <c r="B12" i="3" a="1"/>
  <c r="B12" i="3" s="1"/>
  <c r="A12" i="3"/>
  <c r="R11" i="3"/>
  <c r="Q11" i="3"/>
  <c r="S11" i="3" s="1"/>
  <c r="T11" i="3" s="1"/>
  <c r="W11" i="3" s="1"/>
  <c r="P11" i="3"/>
  <c r="B11" i="3" a="1"/>
  <c r="B11" i="3" s="1"/>
  <c r="A11" i="3"/>
  <c r="R10" i="3"/>
  <c r="Q10" i="3"/>
  <c r="S10" i="3" s="1"/>
  <c r="T10" i="3" s="1"/>
  <c r="W10" i="3" s="1"/>
  <c r="P10" i="3"/>
  <c r="B10" i="3" a="1"/>
  <c r="B10" i="3" s="1"/>
  <c r="A10" i="3"/>
  <c r="R9" i="3"/>
  <c r="Q9" i="3"/>
  <c r="S9" i="3" s="1"/>
  <c r="T9" i="3" s="1"/>
  <c r="W9" i="3" s="1"/>
  <c r="P9" i="3"/>
  <c r="B9" i="3" a="1"/>
  <c r="B9" i="3" s="1"/>
  <c r="A9" i="3"/>
  <c r="U8" i="3"/>
  <c r="R8" i="3"/>
  <c r="Q8" i="3"/>
  <c r="S8" i="3" s="1"/>
  <c r="T8" i="3" s="1"/>
  <c r="W8" i="3" s="1"/>
  <c r="P8" i="3"/>
  <c r="B8" i="3" a="1"/>
  <c r="B8" i="3" s="1"/>
  <c r="A8" i="3"/>
  <c r="Q7" i="3"/>
  <c r="P7" i="3"/>
  <c r="R7" i="3" s="1"/>
  <c r="B7" i="3" a="1"/>
  <c r="B7" i="3" s="1"/>
  <c r="A7" i="3"/>
  <c r="Q6" i="3"/>
  <c r="P6" i="3"/>
  <c r="R6" i="3" s="1"/>
  <c r="B6" i="3" a="1"/>
  <c r="B6" i="3" s="1"/>
  <c r="A6" i="3"/>
  <c r="Q5" i="3"/>
  <c r="P5" i="3"/>
  <c r="R5" i="3" s="1"/>
  <c r="B5" i="3" a="1"/>
  <c r="B5" i="3" s="1"/>
  <c r="A5" i="3"/>
  <c r="A92" i="1"/>
  <c r="A91" i="1"/>
  <c r="A90" i="1"/>
  <c r="A89" i="1"/>
  <c r="A88" i="1"/>
  <c r="A87" i="1"/>
  <c r="A86" i="1"/>
  <c r="A85" i="1"/>
  <c r="A84" i="1"/>
  <c r="A83" i="1"/>
  <c r="A78" i="1"/>
  <c r="A77" i="1"/>
  <c r="A76" i="1"/>
  <c r="A75" i="1"/>
  <c r="A74" i="1"/>
  <c r="A73" i="1"/>
  <c r="A72" i="1"/>
  <c r="A71" i="1"/>
  <c r="A70" i="1"/>
  <c r="A69" i="1"/>
  <c r="A64" i="1"/>
  <c r="A63" i="1"/>
  <c r="A62" i="1"/>
  <c r="A61" i="1"/>
  <c r="A60" i="1"/>
  <c r="A59" i="1"/>
  <c r="A58" i="1"/>
  <c r="A44" i="1"/>
  <c r="A43" i="1"/>
  <c r="A42" i="1"/>
  <c r="A41" i="1"/>
  <c r="A40" i="1"/>
  <c r="A39" i="1"/>
  <c r="A38" i="1"/>
  <c r="A37" i="1"/>
  <c r="A32" i="1"/>
  <c r="A31" i="1"/>
  <c r="A30" i="1"/>
  <c r="A29" i="1"/>
  <c r="A24" i="1"/>
  <c r="A23" i="1"/>
  <c r="A22" i="1"/>
  <c r="F5" i="1"/>
  <c r="E5" i="1"/>
  <c r="D5" i="1"/>
  <c r="C5" i="1"/>
  <c r="A5" i="1"/>
  <c r="F4" i="1"/>
  <c r="E4" i="1"/>
  <c r="A2" i="1"/>
  <c r="S7" i="3" l="1"/>
  <c r="T7" i="3" s="1"/>
  <c r="E29" i="1" s="1"/>
  <c r="S6" i="3"/>
  <c r="T6" i="3" s="1"/>
  <c r="W6" i="3" s="1"/>
  <c r="S5" i="3"/>
  <c r="T5" i="3" s="1"/>
  <c r="H5" i="1"/>
  <c r="G5" i="1"/>
  <c r="B100" i="1"/>
  <c r="B97" i="1"/>
  <c r="B98" i="1"/>
  <c r="B99" i="1"/>
  <c r="B92" i="1"/>
  <c r="C92" i="1"/>
  <c r="C91" i="1"/>
  <c r="B91" i="1"/>
  <c r="B90" i="1"/>
  <c r="C90" i="1"/>
  <c r="B89" i="1"/>
  <c r="C89" i="1"/>
  <c r="B88" i="1"/>
  <c r="C88" i="1"/>
  <c r="B87" i="1"/>
  <c r="C87" i="1"/>
  <c r="B86" i="1"/>
  <c r="C86" i="1"/>
  <c r="C85" i="1"/>
  <c r="B85" i="1"/>
  <c r="B84" i="1"/>
  <c r="C84" i="1"/>
  <c r="C83" i="1"/>
  <c r="B83" i="1"/>
  <c r="D78" i="1"/>
  <c r="B78" i="1"/>
  <c r="C78" i="1"/>
  <c r="C77" i="1"/>
  <c r="D77" i="1"/>
  <c r="B77" i="1"/>
  <c r="C76" i="1"/>
  <c r="D76" i="1"/>
  <c r="B76" i="1"/>
  <c r="D75" i="1"/>
  <c r="C75" i="1"/>
  <c r="B75" i="1"/>
  <c r="D74" i="1"/>
  <c r="B74" i="1"/>
  <c r="C74" i="1"/>
  <c r="D73" i="1"/>
  <c r="B73" i="1"/>
  <c r="C73" i="1"/>
  <c r="D72" i="1"/>
  <c r="C72" i="1"/>
  <c r="B72" i="1"/>
  <c r="D71" i="1"/>
  <c r="C71" i="1"/>
  <c r="B71" i="1"/>
  <c r="B70" i="1"/>
  <c r="D70" i="1"/>
  <c r="C70" i="1"/>
  <c r="C69" i="1"/>
  <c r="D69" i="1"/>
  <c r="B69" i="1"/>
  <c r="B64" i="1"/>
  <c r="C64" i="1"/>
  <c r="C63" i="1"/>
  <c r="B63" i="1"/>
  <c r="C62" i="1"/>
  <c r="B62" i="1"/>
  <c r="B61" i="1"/>
  <c r="C61" i="1"/>
  <c r="C60" i="1"/>
  <c r="B60" i="1"/>
  <c r="B59" i="1"/>
  <c r="C59" i="1"/>
  <c r="B58" i="1"/>
  <c r="C58" i="1"/>
  <c r="C44" i="1"/>
  <c r="B44" i="1"/>
  <c r="D44" i="1"/>
  <c r="E44" i="1"/>
  <c r="E43" i="1"/>
  <c r="D43" i="1"/>
  <c r="B43" i="1"/>
  <c r="C43" i="1"/>
  <c r="E42" i="1"/>
  <c r="D42" i="1"/>
  <c r="C42" i="1"/>
  <c r="B42" i="1"/>
  <c r="C41" i="1"/>
  <c r="B41" i="1"/>
  <c r="E41" i="1"/>
  <c r="D41" i="1"/>
  <c r="E40" i="1"/>
  <c r="D40" i="1"/>
  <c r="C40" i="1"/>
  <c r="B40" i="1"/>
  <c r="C39" i="1"/>
  <c r="B39" i="1"/>
  <c r="E39" i="1"/>
  <c r="E38" i="1"/>
  <c r="D38" i="1"/>
  <c r="C38" i="1"/>
  <c r="B38" i="1"/>
  <c r="C37" i="1"/>
  <c r="E37" i="1"/>
  <c r="B37" i="1"/>
  <c r="E32" i="1"/>
  <c r="D32" i="1"/>
  <c r="C32" i="1"/>
  <c r="B32" i="1"/>
  <c r="B31" i="1"/>
  <c r="C31" i="1"/>
  <c r="D31" i="1"/>
  <c r="E30" i="1"/>
  <c r="D30" i="1"/>
  <c r="C30" i="1"/>
  <c r="B30" i="1"/>
  <c r="B29" i="1"/>
  <c r="D29" i="1"/>
  <c r="C29" i="1"/>
  <c r="H24" i="1"/>
  <c r="G24" i="1"/>
  <c r="F24" i="1"/>
  <c r="E24" i="1"/>
  <c r="B24" i="1"/>
  <c r="D24" i="1"/>
  <c r="C24" i="1"/>
  <c r="B23" i="1"/>
  <c r="C23" i="1"/>
  <c r="H23" i="1"/>
  <c r="G23" i="1"/>
  <c r="F23" i="1"/>
  <c r="E23" i="1"/>
  <c r="D23" i="1"/>
  <c r="G22" i="1"/>
  <c r="G25" i="1" s="1"/>
  <c r="F22" i="1"/>
  <c r="F25" i="1" s="1"/>
  <c r="E22" i="1"/>
  <c r="E25" i="1" s="1"/>
  <c r="D22" i="1"/>
  <c r="D25" i="1" s="1"/>
  <c r="B22" i="1"/>
  <c r="B25" i="1" s="1"/>
  <c r="C22" i="1"/>
  <c r="C25" i="1" s="1"/>
  <c r="W7" i="3" l="1"/>
  <c r="D39" i="1"/>
  <c r="E45" i="1"/>
  <c r="B45" i="1"/>
  <c r="C53" i="1"/>
  <c r="B5" i="1"/>
  <c r="B49" i="1"/>
  <c r="C49" i="1"/>
  <c r="B50" i="1"/>
  <c r="C50" i="1"/>
  <c r="B51" i="1"/>
  <c r="C51" i="1"/>
  <c r="B52" i="1"/>
  <c r="C52" i="1"/>
  <c r="W5" i="3"/>
  <c r="B53" i="1"/>
  <c r="C45" i="1"/>
  <c r="E31" i="1"/>
  <c r="D37" i="1"/>
  <c r="H22" i="1"/>
  <c r="H25" i="1" s="1"/>
  <c r="D45" i="1" l="1"/>
  <c r="I12" i="1"/>
  <c r="I13" i="1"/>
  <c r="I14" i="1"/>
  <c r="I15" i="1"/>
  <c r="I9" i="1"/>
  <c r="I10" i="1"/>
  <c r="I11" i="1"/>
  <c r="I16" i="1"/>
  <c r="I17" i="1"/>
  <c r="I18" i="1"/>
  <c r="B12" i="1" l="1" a="1"/>
  <c r="B12" i="1" s="1"/>
  <c r="C12" i="1" a="1"/>
  <c r="C12" i="1" s="1"/>
  <c r="D12" i="1" a="1"/>
  <c r="D12" i="1" s="1"/>
  <c r="E12" i="1" a="1"/>
  <c r="E12" i="1" s="1"/>
  <c r="G12" i="1"/>
  <c r="H12" i="1" a="1"/>
  <c r="H12" i="1" s="1"/>
  <c r="A12" i="1" a="1"/>
  <c r="A12" i="1" s="1"/>
  <c r="A13" i="1" a="1"/>
  <c r="A13" i="1" s="1"/>
  <c r="B13" i="1" a="1"/>
  <c r="B13" i="1" s="1"/>
  <c r="C13" i="1" a="1"/>
  <c r="C13" i="1" s="1"/>
  <c r="D13" i="1" a="1"/>
  <c r="D13" i="1" s="1"/>
  <c r="E13" i="1" a="1"/>
  <c r="E13" i="1" s="1"/>
  <c r="F13" i="1" a="1"/>
  <c r="F13" i="1" s="1"/>
  <c r="G13" i="1"/>
  <c r="H13" i="1" a="1"/>
  <c r="H13" i="1" s="1"/>
  <c r="A14" i="1" a="1"/>
  <c r="A14" i="1" s="1"/>
  <c r="B14" i="1" a="1"/>
  <c r="B14" i="1" s="1"/>
  <c r="C14" i="1" a="1"/>
  <c r="C14" i="1" s="1"/>
  <c r="D14" i="1" a="1"/>
  <c r="D14" i="1" s="1"/>
  <c r="E14" i="1" a="1"/>
  <c r="E14" i="1" s="1"/>
  <c r="F14" i="1" a="1"/>
  <c r="F14" i="1" s="1"/>
  <c r="G14" i="1"/>
  <c r="H14" i="1" a="1"/>
  <c r="H14" i="1" s="1"/>
  <c r="A15" i="1" a="1"/>
  <c r="A15" i="1" s="1"/>
  <c r="B15" i="1" a="1"/>
  <c r="B15" i="1" s="1"/>
  <c r="C15" i="1" a="1"/>
  <c r="C15" i="1" s="1"/>
  <c r="D15" i="1" a="1"/>
  <c r="D15" i="1" s="1"/>
  <c r="E15" i="1" a="1"/>
  <c r="E15" i="1" s="1"/>
  <c r="F15" i="1" a="1"/>
  <c r="F15" i="1" s="1"/>
  <c r="G15" i="1"/>
  <c r="H15" i="1" a="1"/>
  <c r="H15" i="1" s="1"/>
  <c r="A9" i="1" a="1"/>
  <c r="A9" i="1" s="1"/>
  <c r="B9" i="1" a="1"/>
  <c r="B9" i="1" s="1"/>
  <c r="C9" i="1" a="1"/>
  <c r="C9" i="1" s="1"/>
  <c r="D9" i="1" a="1"/>
  <c r="D9" i="1" s="1"/>
  <c r="E9" i="1" a="1"/>
  <c r="E9" i="1" s="1"/>
  <c r="F9" i="1" a="1"/>
  <c r="F9" i="1" s="1"/>
  <c r="G9" i="1"/>
  <c r="H9" i="1" a="1"/>
  <c r="H9" i="1" s="1"/>
  <c r="B10" i="1" a="1"/>
  <c r="B10" i="1" s="1"/>
  <c r="C10" i="1" a="1"/>
  <c r="C10" i="1" s="1"/>
  <c r="D10" i="1" a="1"/>
  <c r="D10" i="1" s="1"/>
  <c r="F10" i="1" a="1"/>
  <c r="F10" i="1" s="1"/>
  <c r="G10" i="1"/>
  <c r="H10" i="1" a="1"/>
  <c r="H10" i="1" s="1"/>
  <c r="A10" i="1" a="1"/>
  <c r="A10" i="1" s="1"/>
  <c r="E10" i="1" a="1"/>
  <c r="E10" i="1" s="1"/>
  <c r="B11" i="1" a="1"/>
  <c r="B11" i="1" s="1"/>
  <c r="C11" i="1" a="1"/>
  <c r="C11" i="1" s="1"/>
  <c r="E11" i="1" a="1"/>
  <c r="E11" i="1" s="1"/>
  <c r="F11" i="1" a="1"/>
  <c r="F11" i="1" s="1"/>
  <c r="G11" i="1"/>
  <c r="H11" i="1" a="1"/>
  <c r="H11" i="1" s="1"/>
  <c r="A11" i="1" a="1"/>
  <c r="A11" i="1" s="1"/>
  <c r="D11" i="1" a="1"/>
  <c r="D11" i="1" s="1"/>
  <c r="A16" i="1" a="1"/>
  <c r="A16" i="1" s="1"/>
  <c r="B16" i="1" a="1"/>
  <c r="B16" i="1" s="1"/>
  <c r="C16" i="1" a="1"/>
  <c r="C16" i="1" s="1"/>
  <c r="D16" i="1" a="1"/>
  <c r="D16" i="1" s="1"/>
  <c r="E16" i="1" a="1"/>
  <c r="E16" i="1" s="1"/>
  <c r="F16" i="1" a="1"/>
  <c r="F16" i="1" s="1"/>
  <c r="G16" i="1"/>
  <c r="H16" i="1" a="1"/>
  <c r="H16" i="1" s="1"/>
  <c r="A17" i="1" a="1"/>
  <c r="A17" i="1" s="1"/>
  <c r="B17" i="1" a="1"/>
  <c r="B17" i="1" s="1"/>
  <c r="C17" i="1" a="1"/>
  <c r="C17" i="1" s="1"/>
  <c r="D17" i="1" a="1"/>
  <c r="D17" i="1" s="1"/>
  <c r="E17" i="1" a="1"/>
  <c r="E17" i="1" s="1"/>
  <c r="F17" i="1" a="1"/>
  <c r="F17" i="1" s="1"/>
  <c r="G17" i="1"/>
  <c r="H17" i="1" a="1"/>
  <c r="H17" i="1" s="1"/>
  <c r="A18" i="1" a="1"/>
  <c r="A18" i="1" s="1"/>
  <c r="B18" i="1" a="1"/>
  <c r="B18" i="1" s="1"/>
  <c r="C18" i="1" a="1"/>
  <c r="C18" i="1" s="1"/>
  <c r="D18" i="1" a="1"/>
  <c r="D18" i="1" s="1"/>
  <c r="E18" i="1" a="1"/>
  <c r="E18" i="1" s="1"/>
  <c r="F18" i="1" a="1"/>
  <c r="F18" i="1" s="1"/>
  <c r="G18" i="1"/>
  <c r="H18" i="1" a="1"/>
  <c r="H1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<sst xmlns="http://schemas.openxmlformats.org/spreadsheetml/2006/main" count="377" uniqueCount="232">
  <si>
    <t>DAFTAR REFERENSI &amp; PARAMETER</t>
  </si>
  <si>
    <t>DATA PROYEK — PT JAYA SURVEI INDONESIA</t>
  </si>
  <si>
    <t>Semua dropdown, kode proyek, dan perhitungan prioritas di sheet 'Data Proyek' mengambil dari sini. Ubah isi sel sesuai kondisi tim — rumus menyesuaikan otomatis.</t>
  </si>
  <si>
    <t>Divisi</t>
  </si>
  <si>
    <t>PETUNJUK: isi hanya kolom berlatar putih. Kolom abu-abu terisi otomatis — jangan diketik manual. Kode Proyek terbentuk sendiri setelah kolom Divisi dan Jenis diisi. Baris 5–8 adalah contoh; hapus isinya sebelum dipakai, biarkan rumusnya.</t>
  </si>
  <si>
    <t>Kode Divisi</t>
  </si>
  <si>
    <t>Jenis Proyek</t>
  </si>
  <si>
    <t>Kode Jenis</t>
  </si>
  <si>
    <t>PIC / Penanggung Jawab</t>
  </si>
  <si>
    <t>Status Proyek</t>
  </si>
  <si>
    <t>Provinsi</t>
  </si>
  <si>
    <t>Klien / Instansi</t>
  </si>
  <si>
    <t>No</t>
  </si>
  <si>
    <t>Parameter Kriteria Prioritas</t>
  </si>
  <si>
    <t>Nilai</t>
  </si>
  <si>
    <t>Kode Proyek</t>
  </si>
  <si>
    <t>Nama Proyek</t>
  </si>
  <si>
    <t>Enterprise JSI</t>
  </si>
  <si>
    <t>ENT</t>
  </si>
  <si>
    <t>Lokasi (Kota/Kab.)</t>
  </si>
  <si>
    <t>Jasa</t>
  </si>
  <si>
    <t>JAS</t>
  </si>
  <si>
    <t>Harir</t>
  </si>
  <si>
    <t>Prospek</t>
  </si>
  <si>
    <t>Jawa Tengah</t>
  </si>
  <si>
    <t>Balai Besar Pelaksanaan Jalan Nasional</t>
  </si>
  <si>
    <t>Jenis</t>
  </si>
  <si>
    <t>PIC</t>
  </si>
  <si>
    <t>Deadline: sisa hari &lt;= ini → sangat kritis</t>
  </si>
  <si>
    <t>Status</t>
  </si>
  <si>
    <t>Tgl Mulai</t>
  </si>
  <si>
    <t>Tgl Target Selesai</t>
  </si>
  <si>
    <t>Tgl Kontak Terakhir</t>
  </si>
  <si>
    <t>Selisih Kontak (hari)</t>
  </si>
  <si>
    <t>Sisa Hari ke Deadline</t>
  </si>
  <si>
    <t>Consultant</t>
  </si>
  <si>
    <t>Tindak Lanjut</t>
  </si>
  <si>
    <t>CON</t>
  </si>
  <si>
    <t>Penjualan</t>
  </si>
  <si>
    <t>Skor Prioritas</t>
  </si>
  <si>
    <t>PNJ</t>
  </si>
  <si>
    <t>Nurdiyansah</t>
  </si>
  <si>
    <t>Level Prioritas</t>
  </si>
  <si>
    <t>Penawaran</t>
  </si>
  <si>
    <t>Jawa Timur</t>
  </si>
  <si>
    <t>PT Pelindo</t>
  </si>
  <si>
    <t>Deadline: sisa hari &lt;= ini → mendesak</t>
  </si>
  <si>
    <t>Nilai Proyek (Rp)</t>
  </si>
  <si>
    <t>Retail</t>
  </si>
  <si>
    <t>Deskripsi Pekerjaan</t>
  </si>
  <si>
    <t>RTL</t>
  </si>
  <si>
    <t>Riset</t>
  </si>
  <si>
    <t>RIS</t>
  </si>
  <si>
    <t>_urut</t>
  </si>
  <si>
    <t>Rika</t>
  </si>
  <si>
    <t>Negosiasi</t>
  </si>
  <si>
    <t>Jawa Barat</t>
  </si>
  <si>
    <t>Kantor Pertanahan (BPN)</t>
  </si>
  <si>
    <t>Deadline: sisa hari &lt;= ini → waspada</t>
  </si>
  <si>
    <t>Training</t>
  </si>
  <si>
    <t>TRN</t>
  </si>
  <si>
    <t>Nama PIC 4</t>
  </si>
  <si>
    <t>Berjalan</t>
  </si>
  <si>
    <t>DKI Jakarta</t>
  </si>
  <si>
    <t>Universitas Diponegoro</t>
  </si>
  <si>
    <t>Kontak: lebih dari ini (hari) → terlalu lama</t>
  </si>
  <si>
    <t>Nama PIC 5</t>
  </si>
  <si>
    <t>Selesai</t>
  </si>
  <si>
    <t>Banten</t>
  </si>
  <si>
    <t>Klien 5</t>
  </si>
  <si>
    <t>Kontak: lebih dari ini (hari) → perlu dipantau</t>
  </si>
  <si>
    <t>Nama PIC 6</t>
  </si>
  <si>
    <t>Tertunda</t>
  </si>
  <si>
    <t>DI Yogyakarta</t>
  </si>
  <si>
    <t>Klien 6</t>
  </si>
  <si>
    <t>Nilai proyek dianggap BESAR (Rp)</t>
  </si>
  <si>
    <t>Nama PIC 7</t>
  </si>
  <si>
    <t>Batal</t>
  </si>
  <si>
    <t>Kalimantan Timur</t>
  </si>
  <si>
    <t>Klien 7</t>
  </si>
  <si>
    <t>Nilai proyek dianggap SEDANG (Rp)</t>
  </si>
  <si>
    <t>Nama PIC 8</t>
  </si>
  <si>
    <t>Sulawesi Selatan</t>
  </si>
  <si>
    <t>Klien 8</t>
  </si>
  <si>
    <t>Ambang skor → level KRITIS</t>
  </si>
  <si>
    <t>Sumatera Utara</t>
  </si>
  <si>
    <t>Klien 9</t>
  </si>
  <si>
    <t>Ambang skor → level Tinggi</t>
  </si>
  <si>
    <t>Bali</t>
  </si>
  <si>
    <t>Klien 10</t>
  </si>
  <si>
    <t>Ambang skor → level Sedang</t>
  </si>
  <si>
    <t>Sel kuning = angka asumsi, boleh diubah. KODE PROYEK dirakit sebagai JSI-&lt;Kode Divisi&gt;-&lt;Kode Jenis&gt;-&lt;nomor urut&gt;, contoh JSI-ENT-JAS-001. Nomor urut dihitung terpisah untuk tiap kombinasi divisi + jenis.</t>
  </si>
  <si>
    <t>Riset Carbon Stock</t>
  </si>
  <si>
    <t>Undip</t>
  </si>
  <si>
    <t>Semarang</t>
  </si>
  <si>
    <t>Riset mengenai penggunaan SLAM LiDAR Untuk perhitungan Carbon Stock</t>
  </si>
  <si>
    <t>MOU ITERA</t>
  </si>
  <si>
    <t>ITERA</t>
  </si>
  <si>
    <t>Ulin</t>
  </si>
  <si>
    <t>Lampung</t>
  </si>
  <si>
    <t>MOU Terkait riset dan training dengan Teknik Geomatik ITERA</t>
  </si>
  <si>
    <t xml:space="preserve">Batas Lahan dan Situasi </t>
  </si>
  <si>
    <t>PT Pertamina Zona 4 Prabumulih</t>
  </si>
  <si>
    <t>Prabumulih</t>
  </si>
  <si>
    <t>Sumatera Selatan</t>
  </si>
  <si>
    <t>RINGKASAN &amp; PRIORITAS PROYEK TIM</t>
  </si>
  <si>
    <t>Jasa Pengukuran Topografi Batas Lahan dan Situasi Area Komplek Pertamina Zona 4 Prabumulih</t>
  </si>
  <si>
    <t>Total Proyek</t>
  </si>
  <si>
    <t>Prioritas KRITIS</t>
  </si>
  <si>
    <t>Total Nilai (Rp)</t>
  </si>
  <si>
    <t>Proyek Berjalan</t>
  </si>
  <si>
    <t>Perlu Follow Up</t>
  </si>
  <si>
    <t>Deadline Terlewat</t>
  </si>
  <si>
    <t>Topografi LiDAR PLTA  Medan Aceh</t>
  </si>
  <si>
    <t>Saris Geoterra</t>
  </si>
  <si>
    <t>Medan, Aceh</t>
  </si>
  <si>
    <t>DAFTAR PRIORITAS UTAMA — 10 PROYEK DENGAN SKOR TERTINGGI</t>
  </si>
  <si>
    <t>Skor</t>
  </si>
  <si>
    <t>Sisa Hari</t>
  </si>
  <si>
    <t xml:space="preserve">Topografi Lidar PLTA 440 ha dan 846Ha </t>
  </si>
  <si>
    <t>Topografi LiDAR 9000 HA</t>
  </si>
  <si>
    <t>PT Sriwijaya Tansri Energi</t>
  </si>
  <si>
    <t>Muara Enim</t>
  </si>
  <si>
    <t xml:space="preserve">Topografi Lidar </t>
  </si>
  <si>
    <t>Topografi LiDAR 4500 HA</t>
  </si>
  <si>
    <t>Topografi LIDAR 2762HA</t>
  </si>
  <si>
    <t>PT Geoffrey Asia Energy</t>
  </si>
  <si>
    <t xml:space="preserve">Ketapang, </t>
  </si>
  <si>
    <t>Kalimantan Barat</t>
  </si>
  <si>
    <t>Topografi LiDAR 1500Ha</t>
  </si>
  <si>
    <t>IBIP</t>
  </si>
  <si>
    <t>Zuria Hidayat</t>
  </si>
  <si>
    <t>Bintan</t>
  </si>
  <si>
    <t>Kepri</t>
  </si>
  <si>
    <t>REKAP PER DIVISI × JENIS PROYEK</t>
  </si>
  <si>
    <t>Nilai (Rp)</t>
  </si>
  <si>
    <t>Topografi LiDAR 7000Ha</t>
  </si>
  <si>
    <t>PT Bhaktiputra Persada Nusantara</t>
  </si>
  <si>
    <t>Masdar</t>
  </si>
  <si>
    <t>Morowali Utara</t>
  </si>
  <si>
    <t>Sulawesi Tengah</t>
  </si>
  <si>
    <t>Topografi Foto Udara</t>
  </si>
  <si>
    <t>PT Trimata Coal Perkasa</t>
  </si>
  <si>
    <t>Musi Banyuasin</t>
  </si>
  <si>
    <t>TOTAL</t>
  </si>
  <si>
    <t>REKAP PER JENIS PROYEK</t>
  </si>
  <si>
    <t>Jumlah Proyek</t>
  </si>
  <si>
    <t>Survei GPR 7 KM</t>
  </si>
  <si>
    <t>Sufyan</t>
  </si>
  <si>
    <t>081356001212</t>
  </si>
  <si>
    <t>Makassar</t>
  </si>
  <si>
    <t>REKAP PER PIC / PENANGGUNG JAWAB</t>
  </si>
  <si>
    <t>Survei GPR</t>
  </si>
  <si>
    <t>Survei Stock Opname</t>
  </si>
  <si>
    <t>PT Carsurin</t>
  </si>
  <si>
    <t>Pomala</t>
  </si>
  <si>
    <t>Sulawesi Tenggara</t>
  </si>
  <si>
    <t>Topografi LiDAR 1500 HA</t>
  </si>
  <si>
    <t>PT Anugerah Jaya Buana</t>
  </si>
  <si>
    <t>LuwuTimur</t>
  </si>
  <si>
    <t>REKAP PER LEVEL PRIORITAS</t>
  </si>
  <si>
    <t>KRITIS</t>
  </si>
  <si>
    <t>Tinggi</t>
  </si>
  <si>
    <t>Sedang</t>
  </si>
  <si>
    <t>Rendah</t>
  </si>
  <si>
    <t>Tidak aktif</t>
  </si>
  <si>
    <t>REKAP PER STATUS</t>
  </si>
  <si>
    <t>Topografi LiDAR 400HA</t>
  </si>
  <si>
    <t>PT Kungkilan Bukit Tengkiling</t>
  </si>
  <si>
    <t>Hakim</t>
  </si>
  <si>
    <t>Lahat</t>
  </si>
  <si>
    <t>REKAP PER KLIEN / INSTANSI</t>
  </si>
  <si>
    <t>Topografi LIDAR 700HA</t>
  </si>
  <si>
    <t>Helen, Dasep Ahmadi</t>
  </si>
  <si>
    <t>Dasep Ahmadi</t>
  </si>
  <si>
    <t>Belitung</t>
  </si>
  <si>
    <t>Bangka Belitung</t>
  </si>
  <si>
    <t xml:space="preserve">P60 CHCNAV, AA15 </t>
  </si>
  <si>
    <t>PT Bintang Delapan Mineral</t>
  </si>
  <si>
    <t>Angga</t>
  </si>
  <si>
    <t xml:space="preserve">Morowali </t>
  </si>
  <si>
    <t>REKAP PER PROVINSI / LOKASI</t>
  </si>
  <si>
    <t>Penjualan Unit Drone P60 dan AA15</t>
  </si>
  <si>
    <t>X500 CHCNAV, AA6</t>
  </si>
  <si>
    <t>Dinas Perumahan Rakyat, Kab HST</t>
  </si>
  <si>
    <t>Aron</t>
  </si>
  <si>
    <t>Kab. Hulu Sungai Tengah</t>
  </si>
  <si>
    <t>Kalimantan Selatan</t>
  </si>
  <si>
    <t>STATUS KONTAK TERAKHIR</t>
  </si>
  <si>
    <t>Kategori</t>
  </si>
  <si>
    <t>Terkini</t>
  </si>
  <si>
    <t>Penjualan Unit DroneX500 dan AA6</t>
  </si>
  <si>
    <t>Perlu dipantau</t>
  </si>
  <si>
    <t>Segera follow up</t>
  </si>
  <si>
    <t>Belum ada kontak</t>
  </si>
  <si>
    <t>KODE PROYEK, KRITERIA PRIORITAS &amp; ASUMSI</t>
  </si>
  <si>
    <t>KODE PROYEK = JSI-&lt;Kode Divisi&gt;-&lt;Kode Jenis&gt;-&lt;nomor urut&gt;, terbentuk otomatis setelah kolom Divisi dan Jenis diisi.</t>
  </si>
  <si>
    <t xml:space="preserve">  • Divisi: Enterprise JSI = ENT · Reguler = REG. Jenis: Jasa = JAS · Penjualan = PNJ · Riset = RIS · Training = TRN.</t>
  </si>
  <si>
    <t xml:space="preserve">  • Contoh: JSI-ENT-JAS-001 (jasa yang ditangani divisi Enterprise), JSI-REG-PNJ-003 (penjualan divisi Reguler).</t>
  </si>
  <si>
    <t xml:space="preserve">  • Nomor urut dihitung terpisah untuk tiap kombinasi divisi + jenis, jadi Enterprise dan Reguler punya deret sendiri.</t>
  </si>
  <si>
    <t xml:space="preserve">  • Nama divisi, nama jenis, dan kode singkatnya semua diatur di sheet 'Referensi' kolom A–E. Tambah divisi baru di baris kosong di bawahnya.</t>
  </si>
  <si>
    <t>SKOR PRIORITAS = bobot deadline + bobot lama kontak + bobot nilai proyek + bobot status. Skor maksimum 115.</t>
  </si>
  <si>
    <t xml:space="preserve">  • Deadline (Sisa Hari): lewat tenggat = 50 · ≤7 hari = 40 · ≤14 hari = 30 · ≤30 hari = 20 · lebih lama = 10 · tanggal kosong = 5</t>
  </si>
  <si>
    <t xml:space="preserve">  • Lama kontak (Selisih Kontak): &gt;30 hari = 30 · &gt;14 hari = 20 · lebih baru = 5 · belum pernah kontak = 25</t>
  </si>
  <si>
    <t xml:space="preserve">  • Nilai proyek: ≥ Rp 500 jt = 20 · ≥ Rp 100 jt = 10 · di bawah itu = 5 · kosong = 5</t>
  </si>
  <si>
    <t xml:space="preserve">  • Status: Tertunda = 15 · Negosiasi/Penawaran = 12 · Berjalan = 8 · Prospek = 5 · Selesai/Batal = 0</t>
  </si>
  <si>
    <t xml:space="preserve">  • LEVEL: skor ≥75 = KRITIS · ≥55 = Tinggi · ≥35 = Sedang · di bawahnya = Rendah. Selesai/Batal otomatis 'Tidak aktif' dan tidak masuk Top 10.</t>
  </si>
  <si>
    <t xml:space="preserve">  • Angka ambang tersimpan di sheet 'Referensi' kolom O–P (sel kuning); bobotnya sendiri ada di dalam rumus kolom R sheet 'Data Proyek'.</t>
  </si>
  <si>
    <t>Bobot skor di atas adalah asumsi awal, bukan standar baku — sesuaikan dengan kebijakan tim setelah dipakai 1–2 bulan.</t>
  </si>
  <si>
    <t>Daftar PIC, Klien, dan Provinsi masih placeholder. Rekap hanya menghitung nama yang persis sama dengan daftar di 'Referensi'.</t>
  </si>
  <si>
    <t>Dropdown Klien dan Provinsi bersifat saran — entri baru boleh diketik bebas, tapi tambahkan ke Referensi agar ikut terekap.</t>
  </si>
  <si>
    <t>Kapasitas 200 baris (baris 5–204). Nilai proyek dalam Rupiah penuh. Baris 5–8 pada 'Data Proyek' adalah contoh — hapus isinya, jangan rumusnya.</t>
  </si>
  <si>
    <t>Nama Kontak Klien</t>
  </si>
  <si>
    <t>No. HP Klien</t>
  </si>
  <si>
    <t>Ilham habibie</t>
  </si>
  <si>
    <t>Saris</t>
  </si>
  <si>
    <t>Candra</t>
  </si>
  <si>
    <t>Karta Sudarso</t>
  </si>
  <si>
    <t/>
  </si>
  <si>
    <t>085210207730</t>
  </si>
  <si>
    <t>081253652680</t>
  </si>
  <si>
    <t>085378676656</t>
  </si>
  <si>
    <t>KONTRAK BERJALAN (DEAL) — PT JAYA SURVEI INDONESIA</t>
  </si>
  <si>
    <t>Menampilkan otomatis proyek dengan Status = "Berjalan" dari sheet Data Proyek. Isi kolom kontrak (kuning) secara manual.</t>
  </si>
  <si>
    <t>No Kontrak</t>
  </si>
  <si>
    <t>Tanggal Kontrak</t>
  </si>
  <si>
    <t>Nilai Kontrak (Rp)</t>
  </si>
  <si>
    <t>TOP</t>
  </si>
  <si>
    <t>Type Tax (PKP/Non PKP)</t>
  </si>
  <si>
    <t>Sales Fee/Kickback (Rp)</t>
  </si>
  <si>
    <t>Cost Operasional (Rp)</t>
  </si>
  <si>
    <t>Margin/Profit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</si>
</sst>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;\(#,##0\);\-"/>
  </numFmts>
  <fonts count="20">
    <font>
      <sz val="11"/>
      <color theme="1"/>
      <name val="Calibri"/>
      <scheme val="minor"/>
    </font>
    <font>
      <b/>
      <sz val="13"/>
      <color rgb="FF1F3864"/>
      <name val="Arial"/>
    </font>
    <font>
      <b/>
      <sz val="15"/>
      <color rgb="FF1F3864"/>
      <name val="Arial"/>
    </font>
    <font>
      <i/>
      <sz val="9"/>
      <color rgb="FF808080"/>
      <name val="Arial"/>
    </font>
    <font>
      <b/>
      <sz val="10"/>
      <color rgb="FFFFFFFF"/>
      <name val="Arial"/>
    </font>
    <font>
      <sz val="10"/>
      <color theme="1"/>
      <name val="Arial"/>
    </font>
    <font>
      <sz val="9"/>
      <color theme="1"/>
      <name val="Arial"/>
    </font>
    <font>
      <b/>
      <sz val="10"/>
      <color rgb="FF0000FF"/>
      <name val="Arial"/>
    </font>
    <font>
      <b/>
      <sz val="17"/>
      <color rgb="FF1F3864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sz val="11"/>
      <name val="Calibri"/>
    </font>
    <font>
      <b/>
      <sz val="10"/>
      <color rgb="FF1F3864"/>
      <name val="Arial"/>
    </font>
    <font>
      <sz val="11"/>
      <color theme="1"/>
      <name val="Calibri"/>
      <scheme val="minor"/>
    </font>
    <font>
      <b/>
      <sz val="11"/>
      <color rgb="FF1F3864"/>
      <name val="Arial"/>
    </font>
    <font>
      <sz val="9"/>
      <color rgb="FF595959"/>
      <name val="Arial"/>
    </font>
    <font>
      <sz val="11"/>
      <color theme="1"/>
      <name val="Calibri"/>
    </font>
    <font>
      <sz val="10"/>
      <color rgb="FF0000FF"/>
      <name val="Arial"/>
    </font>
    <font>
      <sz val="10"/>
      <color rgb="FF000000"/>
      <name val="Arial"/>
    </font>
    <font>
      <sz val="10"/>
      <color rgb="FF008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5C8A"/>
        <bgColor rgb="FF2E5C8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  <fill>
      <patternFill patternType="solid">
        <fgColor rgb="FF2E5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/>
    <xf numFmtId="3" fontId="7" fillId="3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1" fontId="5" fillId="4" borderId="1" xfId="0" applyNumberFormat="1" applyFont="1" applyFill="1" applyBorder="1" applyAlignment="1">
      <alignment horizontal="center" vertical="top"/>
    </xf>
    <xf numFmtId="165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1" fontId="5" fillId="4" borderId="1" xfId="0" applyNumberFormat="1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3" fillId="0" borderId="0" xfId="0" applyFont="1"/>
    <xf numFmtId="165" fontId="5" fillId="0" borderId="1" xfId="0" applyNumberFormat="1" applyFont="1" applyBorder="1" applyAlignment="1">
      <alignment horizontal="right" vertical="center"/>
    </xf>
    <xf numFmtId="0" fontId="12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165" fontId="12" fillId="6" borderId="1" xfId="0" applyNumberFormat="1" applyFont="1" applyFill="1" applyBorder="1" applyAlignment="1">
      <alignment horizontal="right" vertical="center"/>
    </xf>
    <xf numFmtId="0" fontId="5" fillId="0" borderId="1" xfId="0" quotePrefix="1" applyFont="1" applyBorder="1" applyAlignment="1">
      <alignment horizontal="left" vertical="top"/>
    </xf>
    <xf numFmtId="0" fontId="14" fillId="0" borderId="0" xfId="0" applyFont="1"/>
    <xf numFmtId="0" fontId="8" fillId="0" borderId="0" xfId="0" applyFont="1"/>
    <xf numFmtId="0" fontId="0" fillId="0" borderId="0" xfId="0"/>
    <xf numFmtId="0" fontId="3" fillId="0" borderId="0" xfId="0" applyFont="1"/>
    <xf numFmtId="0" fontId="10" fillId="2" borderId="2" xfId="0" applyFont="1" applyFill="1" applyBorder="1" applyAlignment="1">
      <alignment horizontal="left" vertical="center"/>
    </xf>
    <xf numFmtId="0" fontId="11" fillId="0" borderId="3" xfId="0" applyFont="1" applyBorder="1"/>
    <xf numFmtId="0" fontId="11" fillId="0" borderId="4" xfId="0" applyFont="1" applyBorder="1"/>
    <xf numFmtId="0" fontId="15" fillId="0" borderId="0" xfId="0" applyFont="1"/>
    <xf numFmtId="0" fontId="16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49" fontId="5" fillId="0" borderId="1" xfId="0" applyNumberFormat="1" applyFont="1" applyBorder="1" applyAlignment="1">
      <alignment horizontal="left" vertical="top"/>
    </xf>
    <xf numFmtId="0" fontId="4" fillId="7" borderId="1" xfId="0" applyFont="1" applyFill="1" applyBorder="1" applyAlignment="1">
      <alignment horizontal="center"/>
    </xf>
    <xf numFmtId="0" fontId="19" fillId="9" borderId="1" xfId="0" applyFont="1" applyFill="1" applyBorder="1"/>
    <xf numFmtId="165" fontId="19" fillId="9" borderId="1" xfId="0" applyNumberFormat="1" applyFont="1" applyFill="1" applyBorder="1"/>
    <xf numFmtId="0" fontId="17" fillId="8" borderId="1" xfId="0" applyFont="1" applyFill="1" applyBorder="1"/>
    <xf numFmtId="164" fontId="17" fillId="8" borderId="1" xfId="0" applyNumberFormat="1" applyFont="1" applyFill="1" applyBorder="1"/>
    <xf numFmtId="165" fontId="17" fillId="8" borderId="1" xfId="0" applyNumberFormat="1" applyFont="1" applyFill="1" applyBorder="1"/>
    <xf numFmtId="1" fontId="17" fillId="8" borderId="1" xfId="0" applyNumberFormat="1" applyFont="1" applyFill="1" applyBorder="1"/>
    <xf numFmtId="165" fontId="18" fillId="0" borderId="1" xfId="0" applyNumberFormat="1" applyFont="1" applyBorder="1"/>
  </cellXfs>
  <cellStyles count="1">
    <cellStyle name="Normal" xfId="0" builtinId="0"/>
  </cellStyles>
  <dxfs count="24">
    <dxf>
      <font>
        <sz val="10"/>
        <color rgb="FF595959"/>
        <name val="Arial"/>
      </font>
      <fill>
        <patternFill patternType="solid">
          <fgColor rgb="FFD9D9D9"/>
          <bgColor rgb="FFD9D9D9"/>
        </patternFill>
      </fill>
    </dxf>
    <dxf>
      <font>
        <sz val="10"/>
        <color rgb="FF375623"/>
        <name val="Arial"/>
      </font>
      <fill>
        <patternFill patternType="solid">
          <fgColor rgb="FFC6E0B4"/>
          <bgColor rgb="FFC6E0B4"/>
        </patternFill>
      </fill>
    </dxf>
    <dxf>
      <font>
        <sz val="10"/>
        <color rgb="FF7F6000"/>
        <name val="Arial"/>
      </font>
      <fill>
        <patternFill patternType="solid">
          <fgColor rgb="FFFFE699"/>
          <bgColor rgb="FFFFE699"/>
        </patternFill>
      </fill>
    </dxf>
    <dxf>
      <font>
        <b/>
        <sz val="10"/>
        <color rgb="FF843C0C"/>
        <name val="Arial"/>
      </font>
      <fill>
        <patternFill patternType="solid">
          <fgColor rgb="FFF8CBAD"/>
          <bgColor rgb="FFF8CBAD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595959"/>
        <name val="Arial"/>
      </font>
      <fill>
        <patternFill patternType="solid">
          <fgColor rgb="FFD9D9D9"/>
          <bgColor rgb="FFD9D9D9"/>
        </patternFill>
      </fill>
    </dxf>
    <dxf>
      <font>
        <sz val="10"/>
        <color rgb="FF375623"/>
        <name val="Arial"/>
      </font>
      <fill>
        <patternFill patternType="solid">
          <fgColor rgb="FFC6E0B4"/>
          <bgColor rgb="FFC6E0B4"/>
        </patternFill>
      </fill>
    </dxf>
    <dxf>
      <font>
        <sz val="10"/>
        <color rgb="FF7F6000"/>
        <name val="Arial"/>
      </font>
      <fill>
        <patternFill patternType="solid">
          <fgColor rgb="FFFFE699"/>
          <bgColor rgb="FFFFE699"/>
        </patternFill>
      </fill>
    </dxf>
    <dxf>
      <font>
        <b/>
        <sz val="10"/>
        <color rgb="FF843C0C"/>
        <name val="Arial"/>
      </font>
      <fill>
        <patternFill patternType="solid">
          <fgColor rgb="FFF8CBAD"/>
          <bgColor rgb="FFF8CBAD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DEEEE"/>
          <bgColor rgb="FFFDEEE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5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595959"/>
        <name val="Arial"/>
      </font>
      <fill>
        <patternFill patternType="solid">
          <fgColor rgb="FFD9D9D9"/>
          <bgColor rgb="FFD9D9D9"/>
        </patternFill>
      </fill>
    </dxf>
    <dxf>
      <font>
        <sz val="10"/>
        <color rgb="FF375623"/>
        <name val="Arial"/>
      </font>
      <fill>
        <patternFill patternType="solid">
          <fgColor rgb="FFC6E0B4"/>
          <bgColor rgb="FFC6E0B4"/>
        </patternFill>
      </fill>
    </dxf>
    <dxf>
      <font>
        <sz val="10"/>
        <color rgb="FF7F6000"/>
        <name val="Arial"/>
      </font>
      <fill>
        <patternFill patternType="solid">
          <fgColor rgb="FFFFE699"/>
          <bgColor rgb="FFFFE699"/>
        </patternFill>
      </fill>
    </dxf>
    <dxf>
      <font>
        <b/>
        <sz val="10"/>
        <color rgb="FF843C0C"/>
        <name val="Arial"/>
      </font>
      <fill>
        <patternFill patternType="solid">
          <fgColor rgb="FFF8CBAD"/>
          <bgColor rgb="FFF8CBAD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5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10"/>
        <color rgb="FF595959"/>
        <name val="Arial"/>
      </font>
      <fill>
        <patternFill patternType="solid">
          <fgColor rgb="FFD9D9D9"/>
          <bgColor rgb="FFD9D9D9"/>
        </patternFill>
      </fill>
    </dxf>
    <dxf>
      <font>
        <sz val="10"/>
        <color rgb="FF375623"/>
        <name val="Arial"/>
      </font>
      <fill>
        <patternFill patternType="solid">
          <fgColor rgb="FFC6E0B4"/>
          <bgColor rgb="FFC6E0B4"/>
        </patternFill>
      </fill>
    </dxf>
    <dxf>
      <font>
        <sz val="10"/>
        <color rgb="FF7F6000"/>
        <name val="Arial"/>
      </font>
      <fill>
        <patternFill patternType="solid">
          <fgColor rgb="FFFFE699"/>
          <bgColor rgb="FFFFE699"/>
        </patternFill>
      </fill>
    </dxf>
    <dxf>
      <font>
        <b/>
        <sz val="10"/>
        <color rgb="FF843C0C"/>
        <name val="Arial"/>
      </font>
      <fill>
        <patternFill patternType="solid">
          <fgColor rgb="FFF8CBAD"/>
          <bgColor rgb="FFF8CBAD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D" sz="1800" b="1" i="0">
                <a:solidFill>
                  <a:srgbClr val="000000"/>
                </a:solidFill>
                <a:latin typeface="Calibri"/>
              </a:rPr>
              <a:t>Jumlah Proyek per Jenis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Jumlah Proyek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Dashboard!$A$29:$A$32</c:f>
              <c:strCache>
                <c:ptCount val="4"/>
                <c:pt idx="0">
                  <c:v>Jasa</c:v>
                </c:pt>
                <c:pt idx="1">
                  <c:v>Penjualan</c:v>
                </c:pt>
                <c:pt idx="2">
                  <c:v>Riset</c:v>
                </c:pt>
                <c:pt idx="3">
                  <c:v>Training</c:v>
                </c:pt>
              </c:strCache>
            </c:strRef>
          </c:cat>
          <c:val>
            <c:numRef>
              <c:f>Dashboard!$C$29:$C$32</c:f>
              <c:numCache>
                <c:formatCode>General</c:formatCode>
                <c:ptCount val="4"/>
                <c:pt idx="0">
                  <c:v>13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89-4CD2-8399-E681A7973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1880730"/>
        <c:axId val="329109130"/>
      </c:barChart>
      <c:catAx>
        <c:axId val="901880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9109130"/>
        <c:crosses val="autoZero"/>
        <c:auto val="1"/>
        <c:lblAlgn val="ctr"/>
        <c:lblOffset val="100"/>
        <c:noMultiLvlLbl val="1"/>
      </c:catAx>
      <c:valAx>
        <c:axId val="329109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1880730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D" sz="1800" b="1" i="0">
                <a:solidFill>
                  <a:srgbClr val="000000"/>
                </a:solidFill>
                <a:latin typeface="Calibri"/>
              </a:rPr>
              <a:t>Proyek per Level Prioritas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Jumlah Proyek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Dashboard!$A$49:$A$53</c:f>
              <c:strCache>
                <c:ptCount val="5"/>
                <c:pt idx="0">
                  <c:v>KRITIS</c:v>
                </c:pt>
                <c:pt idx="1">
                  <c:v>Tinggi</c:v>
                </c:pt>
                <c:pt idx="2">
                  <c:v>Sedang</c:v>
                </c:pt>
                <c:pt idx="3">
                  <c:v>Rendah</c:v>
                </c:pt>
                <c:pt idx="4">
                  <c:v>Tidak aktif</c:v>
                </c:pt>
              </c:strCache>
            </c:strRef>
          </c:cat>
          <c:val>
            <c:numRef>
              <c:f>Dashboard!$B$49:$B$53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02-4E9D-9252-4D9F57261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0260362"/>
        <c:axId val="878074092"/>
      </c:barChart>
      <c:catAx>
        <c:axId val="21302603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8074092"/>
        <c:crosses val="autoZero"/>
        <c:auto val="1"/>
        <c:lblAlgn val="ctr"/>
        <c:lblOffset val="100"/>
        <c:noMultiLvlLbl val="1"/>
      </c:catAx>
      <c:valAx>
        <c:axId val="8780740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30260362"/>
        <c:crosses val="max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D" sz="1800" b="1" i="0">
                <a:solidFill>
                  <a:srgbClr val="000000"/>
                </a:solidFill>
                <a:latin typeface="Calibri"/>
              </a:rPr>
              <a:t>Jumlah Proyek per PIC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Proyek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Dashboard!$A$37:$A$44</c:f>
              <c:strCache>
                <c:ptCount val="8"/>
                <c:pt idx="0">
                  <c:v>Harir</c:v>
                </c:pt>
                <c:pt idx="1">
                  <c:v>Nurdiyansah</c:v>
                </c:pt>
                <c:pt idx="2">
                  <c:v>Rika</c:v>
                </c:pt>
                <c:pt idx="3">
                  <c:v>Nama PIC 4</c:v>
                </c:pt>
                <c:pt idx="4">
                  <c:v>Nama PIC 5</c:v>
                </c:pt>
                <c:pt idx="5">
                  <c:v>Nama PIC 6</c:v>
                </c:pt>
                <c:pt idx="6">
                  <c:v>Nama PIC 7</c:v>
                </c:pt>
                <c:pt idx="7">
                  <c:v>Nama PIC 8</c:v>
                </c:pt>
              </c:strCache>
            </c:strRef>
          </c:cat>
          <c:val>
            <c:numRef>
              <c:f>Dashboard!$B$37:$B$44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FDC-450E-B982-E282342B0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81875"/>
        <c:axId val="1682199399"/>
      </c:barChart>
      <c:catAx>
        <c:axId val="5681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82199399"/>
        <c:crosses val="autoZero"/>
        <c:auto val="1"/>
        <c:lblAlgn val="ctr"/>
        <c:lblOffset val="100"/>
        <c:noMultiLvlLbl val="1"/>
      </c:catAx>
      <c:valAx>
        <c:axId val="1682199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81875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114300</xdr:rowOff>
    </xdr:from>
    <xdr:ext cx="4791075" cy="2895600"/>
    <xdr:graphicFrame macro="">
      <xdr:nvGraphicFramePr>
        <xdr:cNvPr id="251330280" name="Chart 1">
          <a:extLst>
            <a:ext uri="{FF2B5EF4-FFF2-40B4-BE49-F238E27FC236}">
              <a16:creationId xmlns:a16="http://schemas.microsoft.com/office/drawing/2014/main" id="{00000000-0008-0000-0000-0000E8FEF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20</xdr:row>
      <xdr:rowOff>304800</xdr:rowOff>
    </xdr:from>
    <xdr:ext cx="4791075" cy="2990850"/>
    <xdr:graphicFrame macro="">
      <xdr:nvGraphicFramePr>
        <xdr:cNvPr id="681342058" name="Chart 2">
          <a:extLst>
            <a:ext uri="{FF2B5EF4-FFF2-40B4-BE49-F238E27FC236}">
              <a16:creationId xmlns:a16="http://schemas.microsoft.com/office/drawing/2014/main" id="{00000000-0008-0000-0000-00006A749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0</xdr:colOff>
      <xdr:row>38</xdr:row>
      <xdr:rowOff>114300</xdr:rowOff>
    </xdr:from>
    <xdr:ext cx="4791075" cy="3000375"/>
    <xdr:graphicFrame macro="">
      <xdr:nvGraphicFramePr>
        <xdr:cNvPr id="1228777828" name="Chart 3">
          <a:extLst>
            <a:ext uri="{FF2B5EF4-FFF2-40B4-BE49-F238E27FC236}">
              <a16:creationId xmlns:a16="http://schemas.microsoft.com/office/drawing/2014/main" id="{00000000-0008-0000-0000-000064A93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859CCB-984C-48F6-B35C-D148F45C395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63b1849-ebc6-424a-829a-7f970308a1f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showGridLines="0" topLeftCell="A10" workbookViewId="0">
      <selection sqref="A1:H1"/>
    </sheetView>
  </sheetViews>
  <sheetFormatPr defaultColWidth="14.42578125" defaultRowHeight="15" customHeight="1"/>
  <cols>
    <col min="1" max="1" width="40" customWidth="1"/>
    <col min="2" max="2" width="16" customWidth="1"/>
    <col min="3" max="3" width="26" customWidth="1"/>
    <col min="4" max="4" width="20" customWidth="1"/>
    <col min="5" max="6" width="18" customWidth="1"/>
    <col min="7" max="7" width="16" customWidth="1"/>
    <col min="8" max="8" width="15" customWidth="1"/>
    <col min="9" max="9" width="13" hidden="1" customWidth="1"/>
    <col min="10" max="26" width="8.7109375" customWidth="1"/>
  </cols>
  <sheetData>
    <row r="1" spans="1:9" ht="21.75">
      <c r="A1" s="31" t="s">
        <v>105</v>
      </c>
      <c r="B1" s="32"/>
      <c r="C1" s="32"/>
      <c r="D1" s="32"/>
      <c r="E1" s="32"/>
      <c r="F1" s="32"/>
      <c r="G1" s="32"/>
      <c r="H1" s="32"/>
    </row>
    <row r="2" spans="1:9">
      <c r="A2" s="33" t="str">
        <f ca="1">" Diperbarui otomatis per: "&amp;TEXT(TODAY(),"DD MMMM YYYY")&amp;"   |   Seluruh angka menarik data dari sheet Data Proyek."</f>
        <v xml:space="preserve"> Diperbarui otomatis per: 28 August 2026   |   Seluruh angka menarik data dari sheet Data Proyek.</v>
      </c>
      <c r="B2" s="32"/>
      <c r="C2" s="32"/>
      <c r="D2" s="32"/>
      <c r="E2" s="32"/>
      <c r="F2" s="32"/>
      <c r="G2" s="32"/>
      <c r="H2" s="32"/>
    </row>
    <row r="4" spans="1:9" ht="31.5" customHeight="1">
      <c r="A4" s="17" t="s">
        <v>107</v>
      </c>
      <c r="B4" s="17" t="s">
        <v>108</v>
      </c>
      <c r="C4" s="17" t="s">
        <v>109</v>
      </c>
      <c r="D4" s="17" t="s">
        <v>110</v>
      </c>
      <c r="E4" s="17" t="str">
        <f>Referensi!$A$5</f>
        <v>Enterprise JSI</v>
      </c>
      <c r="F4" s="17" t="str">
        <f>Referensi!$A$6</f>
        <v>Consultant</v>
      </c>
      <c r="G4" s="17" t="s">
        <v>111</v>
      </c>
      <c r="H4" s="17" t="s">
        <v>112</v>
      </c>
    </row>
    <row r="5" spans="1:9" ht="31.5" customHeight="1">
      <c r="A5" s="18">
        <f>COUNTIF('Data Proyek'!$C$5:$C$204,"?*")</f>
        <v>17</v>
      </c>
      <c r="B5" s="18">
        <f ca="1">COUNTIF('Data Proyek'!$T$5:$T$204,"KRITIS")</f>
        <v>0</v>
      </c>
      <c r="C5" s="19">
        <f>SUM('Data Proyek'!$U$5:$U$204)</f>
        <v>11503854400</v>
      </c>
      <c r="D5" s="18">
        <f>COUNTIF('Data Proyek'!$L$5:$L$204,"Berjalan")</f>
        <v>3</v>
      </c>
      <c r="E5" s="18">
        <f>COUNTIF('Data Proyek'!$I$5:$I$204,Referensi!$A$5)</f>
        <v>17</v>
      </c>
      <c r="F5" s="18">
        <f>COUNTIF('Data Proyek'!$I$5:$I$204,Referensi!$A$6)</f>
        <v>0</v>
      </c>
      <c r="G5" s="18">
        <f ca="1">COUNTIF('Data Proyek'!$R$5:$R$204,"Segera follow up")</f>
        <v>0</v>
      </c>
      <c r="H5" s="18">
        <f ca="1">COUNTIF('Data Proyek'!$Q$5:$Q$204,"&lt;0")</f>
        <v>0</v>
      </c>
    </row>
    <row r="7" spans="1:9" ht="19.5" customHeight="1">
      <c r="A7" s="34" t="s">
        <v>116</v>
      </c>
      <c r="B7" s="35"/>
      <c r="C7" s="35"/>
      <c r="D7" s="35"/>
      <c r="E7" s="35"/>
      <c r="F7" s="35"/>
      <c r="G7" s="35"/>
      <c r="H7" s="36"/>
    </row>
    <row r="8" spans="1:9" ht="30" customHeight="1">
      <c r="A8" s="20" t="s">
        <v>16</v>
      </c>
      <c r="B8" s="20" t="s">
        <v>15</v>
      </c>
      <c r="C8" s="20" t="s">
        <v>11</v>
      </c>
      <c r="D8" s="20" t="s">
        <v>27</v>
      </c>
      <c r="E8" s="20" t="s">
        <v>42</v>
      </c>
      <c r="F8" s="20" t="s">
        <v>29</v>
      </c>
      <c r="G8" s="20" t="s">
        <v>117</v>
      </c>
      <c r="H8" s="20" t="s">
        <v>118</v>
      </c>
    </row>
    <row r="9" spans="1:9" ht="24" customHeight="1">
      <c r="A9" s="21" t="str">
        <f t="array" aca="1" ref="A9" ca="1">IF($I9="","",INDEX('Data Proyek'!$C$5:$C$204,MATCH($I9,'Data Proyek'!$W$5:$W$204,0)))</f>
        <v>X500 CHCNAV, AA6</v>
      </c>
      <c r="B9" s="22" t="str">
        <f t="array" aca="1" ref="B9" ca="1">IF($I9="","",INDEX('Data Proyek'!$B$5:$B$204,MATCH($I9,'Data Proyek'!$W$5:$W$204,0)))</f>
        <v>JSI-ENT-PNJ-002</v>
      </c>
      <c r="C9" s="21" t="str">
        <f t="array" aca="1" ref="C9" ca="1">IF($I9="","",INDEX('Data Proyek'!$D$5:$D$204,MATCH($I9,'Data Proyek'!$W$5:$W$204,0)))</f>
        <v>Dinas Perumahan Rakyat, Kab HST</v>
      </c>
      <c r="D9" s="22" t="str">
        <f t="array" aca="1" ref="D9" ca="1">IF($I9="","",INDEX('Data Proyek'!$K$5:$K$204,MATCH($I9,'Data Proyek'!$W$5:$W$204,0)))</f>
        <v>Rika</v>
      </c>
      <c r="E9" s="22" t="str">
        <f t="array" aca="1" ref="E9" ca="1">IF($I9="","",INDEX('Data Proyek'!$T$5:$T$204,MATCH($I9,'Data Proyek'!$W$5:$W$204,0)))</f>
        <v>Tinggi</v>
      </c>
      <c r="F9" s="22" t="str">
        <f t="array" aca="1" ref="F9" ca="1">IF($I9="","",INDEX('Data Proyek'!$L$5:$L$204,MATCH($I9,'Data Proyek'!$W$5:$W$204,0)))</f>
        <v>Penawaran</v>
      </c>
      <c r="G9" s="22">
        <f t="shared" ref="G9:G18" ca="1" si="0">IF($I9="","",INT($I9))</f>
        <v>62</v>
      </c>
      <c r="H9" s="23" t="str">
        <f t="array" aca="1" ref="H9" ca="1">IF($I9="","",INDEX('Data Proyek'!$Q$5:$Q$204,MATCH($I9,'Data Proyek'!$W$5:$W$204,0)))</f>
        <v/>
      </c>
      <c r="I9" s="24">
        <f ca="1">IFERROR(LARGE('Data Proyek'!$W$5:$W$204,1),"")</f>
        <v>62.000210000000003</v>
      </c>
    </row>
    <row r="10" spans="1:9" ht="24" customHeight="1">
      <c r="A10" s="21" t="str">
        <f t="array" aca="1" ref="A10" ca="1">IF($I10="","",INDEX('Data Proyek'!$C$5:$C$204,MATCH($I10,'Data Proyek'!$W$5:$W$204,0)))</f>
        <v xml:space="preserve">P60 CHCNAV, AA15 </v>
      </c>
      <c r="B10" s="22" t="str">
        <f t="array" aca="1" ref="B10" ca="1">IF($I10="","",INDEX('Data Proyek'!$B$5:$B$204,MATCH($I10,'Data Proyek'!$W$5:$W$204,0)))</f>
        <v>JSI-ENT-PNJ-001</v>
      </c>
      <c r="C10" s="21" t="str">
        <f t="array" aca="1" ref="C10" ca="1">IF($I10="","",INDEX('Data Proyek'!$D$5:$D$204,MATCH($I10,'Data Proyek'!$W$5:$W$204,0)))</f>
        <v>PT Bintang Delapan Mineral</v>
      </c>
      <c r="D10" s="22" t="str">
        <f t="array" aca="1" ref="D10" ca="1">IF($I10="","",INDEX('Data Proyek'!$K$5:$K$204,MATCH($I10,'Data Proyek'!$W$5:$W$204,0)))</f>
        <v>Rika</v>
      </c>
      <c r="E10" s="22" t="str">
        <f t="array" aca="1" ref="E10" ca="1">IF($I10="","",INDEX('Data Proyek'!$T$5:$T$204,MATCH($I10,'Data Proyek'!$W$5:$W$204,0)))</f>
        <v>Tinggi</v>
      </c>
      <c r="F10" s="22" t="str">
        <f t="array" aca="1" ref="F10" ca="1">IF($I10="","",INDEX('Data Proyek'!$L$5:$L$204,MATCH($I10,'Data Proyek'!$W$5:$W$204,0)))</f>
        <v>Negosiasi</v>
      </c>
      <c r="G10" s="22">
        <f t="shared" ca="1" si="0"/>
        <v>62</v>
      </c>
      <c r="H10" s="23" t="str">
        <f t="array" aca="1" ref="H10" ca="1">IF($I10="","",INDEX('Data Proyek'!$Q$5:$Q$204,MATCH($I10,'Data Proyek'!$W$5:$W$204,0)))</f>
        <v/>
      </c>
      <c r="I10" s="24">
        <f ca="1">IFERROR(LARGE('Data Proyek'!$W$5:$W$204,2),"")</f>
        <v>62.0002</v>
      </c>
    </row>
    <row r="11" spans="1:9" ht="24" customHeight="1">
      <c r="A11" s="21" t="str">
        <f t="array" aca="1" ref="A11" ca="1">IF($I11="","",INDEX('Data Proyek'!$C$5:$C$204,MATCH($I11,'Data Proyek'!$W$5:$W$204,0)))</f>
        <v>Topografi Foto Udara</v>
      </c>
      <c r="B11" s="22" t="str">
        <f t="array" aca="1" ref="B11" ca="1">IF($I11="","",INDEX('Data Proyek'!$B$5:$B$204,MATCH($I11,'Data Proyek'!$W$5:$W$204,0)))</f>
        <v>JSI-ENT-JAS-008</v>
      </c>
      <c r="C11" s="21" t="str">
        <f t="array" aca="1" ref="C11" ca="1">IF($I11="","",INDEX('Data Proyek'!$D$5:$D$204,MATCH($I11,'Data Proyek'!$W$5:$W$204,0)))</f>
        <v>PT Trimata Coal Perkasa</v>
      </c>
      <c r="D11" s="22" t="str">
        <f t="array" aca="1" ref="D11" ca="1">IF($I11="","",INDEX('Data Proyek'!$K$5:$K$204,MATCH($I11,'Data Proyek'!$W$5:$W$204,0)))</f>
        <v>Rika</v>
      </c>
      <c r="E11" s="22" t="str">
        <f t="array" aca="1" ref="E11" ca="1">IF($I11="","",INDEX('Data Proyek'!$T$5:$T$204,MATCH($I11,'Data Proyek'!$W$5:$W$204,0)))</f>
        <v>Tinggi</v>
      </c>
      <c r="F11" s="22" t="str">
        <f t="array" aca="1" ref="F11" ca="1">IF($I11="","",INDEX('Data Proyek'!$L$5:$L$204,MATCH($I11,'Data Proyek'!$W$5:$W$204,0)))</f>
        <v>Negosiasi</v>
      </c>
      <c r="G11" s="22">
        <f t="shared" ca="1" si="0"/>
        <v>62</v>
      </c>
      <c r="H11" s="23" t="str">
        <f t="array" aca="1" ref="H11" ca="1">IF($I11="","",INDEX('Data Proyek'!$Q$5:$Q$204,MATCH($I11,'Data Proyek'!$W$5:$W$204,0)))</f>
        <v/>
      </c>
      <c r="I11" s="24">
        <f ca="1">IFERROR(LARGE('Data Proyek'!$W$5:$W$204,3),"")</f>
        <v>62.000140000000002</v>
      </c>
    </row>
    <row r="12" spans="1:9" ht="24" customHeight="1">
      <c r="A12" s="21" t="str">
        <f t="array" aca="1" ref="A12" ca="1">IF($I12="","",INDEX('Data Proyek'!$C$5:$C$204,MATCH($I12,'Data Proyek'!$W$5:$W$204,0)))</f>
        <v>Topografi LiDAR 7000Ha</v>
      </c>
      <c r="B12" s="22" t="str">
        <f t="array" aca="1" ref="B12" ca="1">IF($I12="","",INDEX('Data Proyek'!$B$5:$B$204,MATCH($I12,'Data Proyek'!$W$5:$W$204,0)))</f>
        <v>JSI-ENT-JAS-007</v>
      </c>
      <c r="C12" s="21" t="str">
        <f t="array" aca="1" ref="C12" ca="1">IF($I12="","",INDEX('Data Proyek'!$D$5:$D$204,MATCH($I12,'Data Proyek'!$W$5:$W$204,0)))</f>
        <v>PT Bhaktiputra Persada Nusantara</v>
      </c>
      <c r="D12" s="22" t="str">
        <f t="array" aca="1" ref="D12" ca="1">IF($I12="","",INDEX('Data Proyek'!$K$5:$K$204,MATCH($I12,'Data Proyek'!$W$5:$W$204,0)))</f>
        <v>Rika</v>
      </c>
      <c r="E12" s="22" t="str">
        <f t="array" aca="1" ref="E12" ca="1">IF($I12="","",INDEX('Data Proyek'!$T$5:$T$204,MATCH($I12,'Data Proyek'!$W$5:$W$204,0)))</f>
        <v>Tinggi</v>
      </c>
      <c r="F12" s="22"/>
      <c r="G12" s="22">
        <f t="shared" ca="1" si="0"/>
        <v>62</v>
      </c>
      <c r="H12" s="23" t="str">
        <f t="array" aca="1" ref="H12" ca="1">IF($I12="","",INDEX('Data Proyek'!$Q$5:$Q$204,MATCH($I12,'Data Proyek'!$W$5:$W$204,0)))</f>
        <v/>
      </c>
      <c r="I12" s="24">
        <f ca="1">IFERROR(LARGE('Data Proyek'!$W$5:$W$204,4),"")</f>
        <v>62.000129999999999</v>
      </c>
    </row>
    <row r="13" spans="1:9" ht="24" customHeight="1">
      <c r="A13" s="21" t="str">
        <f t="array" aca="1" ref="A13" ca="1">IF($I13="","",INDEX('Data Proyek'!$C$5:$C$204,MATCH($I13,'Data Proyek'!$W$5:$W$204,0)))</f>
        <v>Topografi LiDAR 4500 HA</v>
      </c>
      <c r="B13" s="22" t="str">
        <f t="array" aca="1" ref="B13" ca="1">IF($I13="","",INDEX('Data Proyek'!$B$5:$B$204,MATCH($I13,'Data Proyek'!$W$5:$W$204,0)))</f>
        <v>JSI-ENT-JAS-004</v>
      </c>
      <c r="C13" s="21" t="str">
        <f t="array" aca="1" ref="C13" ca="1">IF($I13="","",INDEX('Data Proyek'!$D$5:$D$204,MATCH($I13,'Data Proyek'!$W$5:$W$204,0)))</f>
        <v>PT Sriwijaya Tansri Energi</v>
      </c>
      <c r="D13" s="22" t="str">
        <f t="array" aca="1" ref="D13" ca="1">IF($I13="","",INDEX('Data Proyek'!$K$5:$K$204,MATCH($I13,'Data Proyek'!$W$5:$W$204,0)))</f>
        <v>Nurdiyansah</v>
      </c>
      <c r="E13" s="22" t="str">
        <f t="array" aca="1" ref="E13" ca="1">IF($I13="","",INDEX('Data Proyek'!$T$5:$T$204,MATCH($I13,'Data Proyek'!$W$5:$W$204,0)))</f>
        <v>Tinggi</v>
      </c>
      <c r="F13" s="22" t="str">
        <f t="array" aca="1" ref="F13" ca="1">IF($I13="","",INDEX('Data Proyek'!$L$5:$L$204,MATCH($I13,'Data Proyek'!$W$5:$W$204,0)))</f>
        <v>Penawaran</v>
      </c>
      <c r="G13" s="22">
        <f t="shared" ca="1" si="0"/>
        <v>62</v>
      </c>
      <c r="H13" s="23" t="str">
        <f t="array" aca="1" ref="H13" ca="1">IF($I13="","",INDEX('Data Proyek'!$Q$5:$Q$204,MATCH($I13,'Data Proyek'!$W$5:$W$204,0)))</f>
        <v/>
      </c>
      <c r="I13" s="24">
        <f ca="1">IFERROR(LARGE('Data Proyek'!$W$5:$W$204,5),"")</f>
        <v>62.000100000000003</v>
      </c>
    </row>
    <row r="14" spans="1:9" ht="24" customHeight="1">
      <c r="A14" s="21" t="str">
        <f t="array" aca="1" ref="A14" ca="1">IF($I14="","",INDEX('Data Proyek'!$C$5:$C$204,MATCH($I14,'Data Proyek'!$W$5:$W$204,0)))</f>
        <v>Topografi LiDAR 9000 HA</v>
      </c>
      <c r="B14" s="22" t="str">
        <f t="array" aca="1" ref="B14" ca="1">IF($I14="","",INDEX('Data Proyek'!$B$5:$B$204,MATCH($I14,'Data Proyek'!$W$5:$W$204,0)))</f>
        <v>JSI-ENT-JAS-003</v>
      </c>
      <c r="C14" s="21" t="str">
        <f t="array" aca="1" ref="C14" ca="1">IF($I14="","",INDEX('Data Proyek'!$D$5:$D$204,MATCH($I14,'Data Proyek'!$W$5:$W$204,0)))</f>
        <v>PT Sriwijaya Tansri Energi</v>
      </c>
      <c r="D14" s="22" t="str">
        <f t="array" aca="1" ref="D14" ca="1">IF($I14="","",INDEX('Data Proyek'!$K$5:$K$204,MATCH($I14,'Data Proyek'!$W$5:$W$204,0)))</f>
        <v>Nurdiyansah</v>
      </c>
      <c r="E14" s="22" t="str">
        <f t="array" aca="1" ref="E14" ca="1">IF($I14="","",INDEX('Data Proyek'!$T$5:$T$204,MATCH($I14,'Data Proyek'!$W$5:$W$204,0)))</f>
        <v>Tinggi</v>
      </c>
      <c r="F14" s="22" t="str">
        <f t="array" aca="1" ref="F14" ca="1">IF($I14="","",INDEX('Data Proyek'!$L$5:$L$204,MATCH($I14,'Data Proyek'!$W$5:$W$204,0)))</f>
        <v>Penawaran</v>
      </c>
      <c r="G14" s="22">
        <f t="shared" ca="1" si="0"/>
        <v>62</v>
      </c>
      <c r="H14" s="23" t="str">
        <f t="array" aca="1" ref="H14" ca="1">IF($I14="","",INDEX('Data Proyek'!$Q$5:$Q$204,MATCH($I14,'Data Proyek'!$W$5:$W$204,0)))</f>
        <v/>
      </c>
      <c r="I14" s="24">
        <f ca="1">IFERROR(LARGE('Data Proyek'!$W$5:$W$204,6),"")</f>
        <v>62.00009</v>
      </c>
    </row>
    <row r="15" spans="1:9" ht="24" customHeight="1">
      <c r="A15" s="21" t="str">
        <f t="array" aca="1" ref="A15" ca="1">IF($I15="","",INDEX('Data Proyek'!$C$5:$C$204,MATCH($I15,'Data Proyek'!$W$5:$W$204,0)))</f>
        <v>Riset Carbon Stock</v>
      </c>
      <c r="B15" s="22" t="str">
        <f t="array" aca="1" ref="B15" ca="1">IF($I15="","",INDEX('Data Proyek'!$B$5:$B$204,MATCH($I15,'Data Proyek'!$W$5:$W$204,0)))</f>
        <v>JSI-ENT-RIS-001</v>
      </c>
      <c r="C15" s="21" t="str">
        <f t="array" aca="1" ref="C15" ca="1">IF($I15="","",INDEX('Data Proyek'!$D$5:$D$204,MATCH($I15,'Data Proyek'!$W$5:$W$204,0)))</f>
        <v>Undip</v>
      </c>
      <c r="D15" s="22" t="str">
        <f t="array" aca="1" ref="D15" ca="1">IF($I15="","",INDEX('Data Proyek'!$K$5:$K$204,MATCH($I15,'Data Proyek'!$W$5:$W$204,0)))</f>
        <v>Harir</v>
      </c>
      <c r="E15" s="22" t="str">
        <f t="array" aca="1" ref="E15" ca="1">IF($I15="","",INDEX('Data Proyek'!$T$5:$T$204,MATCH($I15,'Data Proyek'!$W$5:$W$204,0)))</f>
        <v>Tinggi</v>
      </c>
      <c r="F15" s="22" t="str">
        <f t="array" aca="1" ref="F15" ca="1">IF($I15="","",INDEX('Data Proyek'!$L$5:$L$204,MATCH($I15,'Data Proyek'!$W$5:$W$204,0)))</f>
        <v>Berjalan</v>
      </c>
      <c r="G15" s="22">
        <f t="shared" ca="1" si="0"/>
        <v>58</v>
      </c>
      <c r="H15" s="23">
        <f t="array" aca="1" ref="H15" ca="1">IF($I15="","",INDEX('Data Proyek'!$Q$5:$Q$204,MATCH($I15,'Data Proyek'!$W$5:$W$204,0)))</f>
        <v>6</v>
      </c>
      <c r="I15" s="24">
        <f ca="1">IFERROR(LARGE('Data Proyek'!$W$5:$W$204,7),"")</f>
        <v>58.000050000000002</v>
      </c>
    </row>
    <row r="16" spans="1:9" ht="24" customHeight="1">
      <c r="A16" s="21" t="str">
        <f t="array" aca="1" ref="A16" ca="1">IF($I16="","",INDEX('Data Proyek'!$C$5:$C$204,MATCH($I16,'Data Proyek'!$W$5:$W$204,0)))</f>
        <v xml:space="preserve">Batas Lahan dan Situasi </v>
      </c>
      <c r="B16" s="22" t="str">
        <f t="array" aca="1" ref="B16" ca="1">IF($I16="","",INDEX('Data Proyek'!$B$5:$B$204,MATCH($I16,'Data Proyek'!$W$5:$W$204,0)))</f>
        <v>JSI-ENT-JAS-001</v>
      </c>
      <c r="C16" s="21" t="str">
        <f t="array" aca="1" ref="C16" ca="1">IF($I16="","",INDEX('Data Proyek'!$D$5:$D$204,MATCH($I16,'Data Proyek'!$W$5:$W$204,0)))</f>
        <v>PT Pertamina Zona 4 Prabumulih</v>
      </c>
      <c r="D16" s="22" t="str">
        <f t="array" aca="1" ref="D16" ca="1">IF($I16="","",INDEX('Data Proyek'!$K$5:$K$204,MATCH($I16,'Data Proyek'!$W$5:$W$204,0)))</f>
        <v>Rika</v>
      </c>
      <c r="E16" s="22" t="str">
        <f t="array" aca="1" ref="E16" ca="1">IF($I16="","",INDEX('Data Proyek'!$T$5:$T$204,MATCH($I16,'Data Proyek'!$W$5:$W$204,0)))</f>
        <v>Sedang</v>
      </c>
      <c r="F16" s="22" t="str">
        <f t="array" aca="1" ref="F16" ca="1">IF($I16="","",INDEX('Data Proyek'!$L$5:$L$204,MATCH($I16,'Data Proyek'!$W$5:$W$204,0)))</f>
        <v>Berjalan</v>
      </c>
      <c r="G16" s="22">
        <f t="shared" ca="1" si="0"/>
        <v>53</v>
      </c>
      <c r="H16" s="23">
        <f t="array" aca="1" ref="H16" ca="1">IF($I16="","",INDEX('Data Proyek'!$Q$5:$Q$204,MATCH($I16,'Data Proyek'!$W$5:$W$204,0)))</f>
        <v>9</v>
      </c>
      <c r="I16" s="24">
        <f ca="1">IFERROR(LARGE('Data Proyek'!$W$5:$W$204,8),"")</f>
        <v>53.000070000000001</v>
      </c>
    </row>
    <row r="17" spans="1:9" ht="24" customHeight="1">
      <c r="A17" s="21" t="str">
        <f t="array" aca="1" ref="A17" ca="1">IF($I17="","",INDEX('Data Proyek'!$C$5:$C$204,MATCH($I17,'Data Proyek'!$W$5:$W$204,0)))</f>
        <v>Topografi LIDAR 700HA</v>
      </c>
      <c r="B17" s="22" t="str">
        <f t="array" aca="1" ref="B17" ca="1">IF($I17="","",INDEX('Data Proyek'!$B$5:$B$204,MATCH($I17,'Data Proyek'!$W$5:$W$204,0)))</f>
        <v>JSI-ENT-JAS-013</v>
      </c>
      <c r="C17" s="21" t="str">
        <f t="array" aca="1" ref="C17" ca="1">IF($I17="","",INDEX('Data Proyek'!$D$5:$D$204,MATCH($I17,'Data Proyek'!$W$5:$W$204,0)))</f>
        <v>Helen, Dasep Ahmadi</v>
      </c>
      <c r="D17" s="22" t="str">
        <f t="array" aca="1" ref="D17" ca="1">IF($I17="","",INDEX('Data Proyek'!$K$5:$K$204,MATCH($I17,'Data Proyek'!$W$5:$W$204,0)))</f>
        <v>Harir</v>
      </c>
      <c r="E17" s="22" t="str">
        <f t="array" aca="1" ref="E17" ca="1">IF($I17="","",INDEX('Data Proyek'!$T$5:$T$204,MATCH($I17,'Data Proyek'!$W$5:$W$204,0)))</f>
        <v>Sedang</v>
      </c>
      <c r="F17" s="22" t="str">
        <f t="array" aca="1" ref="F17" ca="1">IF($I17="","",INDEX('Data Proyek'!$L$5:$L$204,MATCH($I17,'Data Proyek'!$W$5:$W$204,0)))</f>
        <v>Penawaran</v>
      </c>
      <c r="G17" s="22">
        <f t="shared" ca="1" si="0"/>
        <v>52</v>
      </c>
      <c r="H17" s="23" t="str">
        <f t="array" aca="1" ref="H17" ca="1">IF($I17="","",INDEX('Data Proyek'!$Q$5:$Q$204,MATCH($I17,'Data Proyek'!$W$5:$W$204,0)))</f>
        <v/>
      </c>
      <c r="I17" s="24">
        <f ca="1">IFERROR(LARGE('Data Proyek'!$W$5:$W$204,9),"")</f>
        <v>52.000190000000003</v>
      </c>
    </row>
    <row r="18" spans="1:9" ht="24" customHeight="1">
      <c r="A18" s="21" t="str">
        <f t="array" aca="1" ref="A18" ca="1">IF($I18="","",INDEX('Data Proyek'!$C$5:$C$204,MATCH($I18,'Data Proyek'!$W$5:$W$204,0)))</f>
        <v>Topografi LiDAR 400HA</v>
      </c>
      <c r="B18" s="22" t="str">
        <f t="array" aca="1" ref="B18" ca="1">IF($I18="","",INDEX('Data Proyek'!$B$5:$B$204,MATCH($I18,'Data Proyek'!$W$5:$W$204,0)))</f>
        <v>JSI-ENT-JAS-012</v>
      </c>
      <c r="C18" s="21" t="str">
        <f t="array" aca="1" ref="C18" ca="1">IF($I18="","",INDEX('Data Proyek'!$D$5:$D$204,MATCH($I18,'Data Proyek'!$W$5:$W$204,0)))</f>
        <v>PT Kungkilan Bukit Tengkiling</v>
      </c>
      <c r="D18" s="22" t="str">
        <f t="array" aca="1" ref="D18" ca="1">IF($I18="","",INDEX('Data Proyek'!$K$5:$K$204,MATCH($I18,'Data Proyek'!$W$5:$W$204,0)))</f>
        <v>Rika</v>
      </c>
      <c r="E18" s="22" t="str">
        <f t="array" aca="1" ref="E18" ca="1">IF($I18="","",INDEX('Data Proyek'!$T$5:$T$204,MATCH($I18,'Data Proyek'!$W$5:$W$204,0)))</f>
        <v>Sedang</v>
      </c>
      <c r="F18" s="22" t="str">
        <f t="array" aca="1" ref="F18" ca="1">IF($I18="","",INDEX('Data Proyek'!$L$5:$L$204,MATCH($I18,'Data Proyek'!$W$5:$W$204,0)))</f>
        <v>Penawaran</v>
      </c>
      <c r="G18" s="22">
        <f t="shared" ca="1" si="0"/>
        <v>52</v>
      </c>
      <c r="H18" s="23" t="str">
        <f t="array" aca="1" ref="H18" ca="1">IF($I18="","",INDEX('Data Proyek'!$Q$5:$Q$204,MATCH($I18,'Data Proyek'!$W$5:$W$204,0)))</f>
        <v/>
      </c>
      <c r="I18" s="24">
        <f ca="1">IFERROR(LARGE('Data Proyek'!$W$5:$W$204,10),"")</f>
        <v>52.00018</v>
      </c>
    </row>
    <row r="20" spans="1:9" ht="19.5" customHeight="1">
      <c r="A20" s="34" t="s">
        <v>134</v>
      </c>
      <c r="B20" s="35"/>
      <c r="C20" s="35"/>
      <c r="D20" s="35"/>
      <c r="E20" s="35"/>
      <c r="F20" s="35"/>
      <c r="G20" s="35"/>
      <c r="H20" s="36"/>
    </row>
    <row r="21" spans="1:9" ht="30" customHeight="1">
      <c r="A21" s="20" t="s">
        <v>3</v>
      </c>
      <c r="B21" s="20" t="s">
        <v>20</v>
      </c>
      <c r="C21" s="20" t="s">
        <v>38</v>
      </c>
      <c r="D21" s="20" t="s">
        <v>51</v>
      </c>
      <c r="E21" s="20" t="s">
        <v>59</v>
      </c>
      <c r="F21" s="20" t="s">
        <v>107</v>
      </c>
      <c r="G21" s="20" t="s">
        <v>135</v>
      </c>
      <c r="H21" s="20" t="s">
        <v>108</v>
      </c>
    </row>
    <row r="22" spans="1:9" ht="15.75" customHeight="1">
      <c r="A22" s="21" t="str">
        <f>IF(Referensi!$A$5="","",Referensi!$A$5)</f>
        <v>Enterprise JSI</v>
      </c>
      <c r="B22" s="22">
        <f>IF($A22="","",COUNTIFS('Data Proyek'!$I$5:$I$204,$A22,'Data Proyek'!$J$5:$J$204,Referensi!$D$5))</f>
        <v>13</v>
      </c>
      <c r="C22" s="22">
        <f>IF($A22="","",COUNTIFS('Data Proyek'!$I$5:$I$204,$A22,'Data Proyek'!$J$5:$J$204,Referensi!$D$6))</f>
        <v>2</v>
      </c>
      <c r="D22" s="22">
        <f>IF($A22="","",COUNTIFS('Data Proyek'!$I$5:$I$204,$A22,'Data Proyek'!$J$5:$J$204,Referensi!$D$7))</f>
        <v>2</v>
      </c>
      <c r="E22" s="22">
        <f>IF($A22="","",COUNTIFS('Data Proyek'!$I$5:$I$204,$A22,'Data Proyek'!$J$5:$J$204,Referensi!$D$8))</f>
        <v>0</v>
      </c>
      <c r="F22" s="22">
        <f>IF($A22="","",COUNTIF('Data Proyek'!$I$5:$I$204,$A22))</f>
        <v>17</v>
      </c>
      <c r="G22" s="25">
        <f>IF($A22="","",SUMIF('Data Proyek'!$I$5:$I$204,$A22,'Data Proyek'!$U$5:$U$204))</f>
        <v>11503854400</v>
      </c>
      <c r="H22" s="22">
        <f ca="1">IF($A22="","",COUNTIFS('Data Proyek'!$I$5:$I$204,$A22,'Data Proyek'!$T$5:$T$204,"KRITIS"))</f>
        <v>0</v>
      </c>
    </row>
    <row r="23" spans="1:9" ht="15.75" customHeight="1">
      <c r="A23" s="21" t="str">
        <f>IF(Referensi!$A$6="","",Referensi!$A$6)</f>
        <v>Consultant</v>
      </c>
      <c r="B23" s="22">
        <f>IF($A23="","",COUNTIFS('Data Proyek'!$I$5:$I$204,$A23,'Data Proyek'!$J$5:$J$204,Referensi!$D$5))</f>
        <v>0</v>
      </c>
      <c r="C23" s="22">
        <f>IF($A23="","",COUNTIFS('Data Proyek'!$I$5:$I$204,$A23,'Data Proyek'!$J$5:$J$204,Referensi!$D$6))</f>
        <v>0</v>
      </c>
      <c r="D23" s="22">
        <f>IF($A23="","",COUNTIFS('Data Proyek'!$I$5:$I$204,$A23,'Data Proyek'!$J$5:$J$204,Referensi!$D$7))</f>
        <v>0</v>
      </c>
      <c r="E23" s="22">
        <f>IF($A23="","",COUNTIFS('Data Proyek'!$I$5:$I$204,$A23,'Data Proyek'!$J$5:$J$204,Referensi!$D$8))</f>
        <v>0</v>
      </c>
      <c r="F23" s="22">
        <f>IF($A23="","",COUNTIF('Data Proyek'!$I$5:$I$204,$A23))</f>
        <v>0</v>
      </c>
      <c r="G23" s="25">
        <f>IF($A23="","",SUMIF('Data Proyek'!$I$5:$I$204,$A23,'Data Proyek'!$U$5:$U$204))</f>
        <v>0</v>
      </c>
      <c r="H23" s="22">
        <f>IF($A23="","",COUNTIFS('Data Proyek'!$I$5:$I$204,$A23,'Data Proyek'!$T$5:$T$204,"KRITIS"))</f>
        <v>0</v>
      </c>
    </row>
    <row r="24" spans="1:9" ht="15.75" customHeight="1">
      <c r="A24" s="21" t="str">
        <f>IF(Referensi!$A$7="","",Referensi!$A$7)</f>
        <v>Retail</v>
      </c>
      <c r="B24" s="22">
        <f>IF($A24="","",COUNTIFS('Data Proyek'!$I$5:$I$204,$A24,'Data Proyek'!$J$5:$J$204,Referensi!$D$5))</f>
        <v>0</v>
      </c>
      <c r="C24" s="22">
        <f>IF($A24="","",COUNTIFS('Data Proyek'!$I$5:$I$204,$A24,'Data Proyek'!$J$5:$J$204,Referensi!$D$6))</f>
        <v>0</v>
      </c>
      <c r="D24" s="22">
        <f>IF($A24="","",COUNTIFS('Data Proyek'!$I$5:$I$204,$A24,'Data Proyek'!$J$5:$J$204,Referensi!$D$7))</f>
        <v>0</v>
      </c>
      <c r="E24" s="22">
        <f>IF($A24="","",COUNTIFS('Data Proyek'!$I$5:$I$204,$A24,'Data Proyek'!$J$5:$J$204,Referensi!$D$8))</f>
        <v>0</v>
      </c>
      <c r="F24" s="22">
        <f>IF($A24="","",COUNTIF('Data Proyek'!$I$5:$I$204,$A24))</f>
        <v>0</v>
      </c>
      <c r="G24" s="25">
        <f>IF($A24="","",SUMIF('Data Proyek'!$I$5:$I$204,$A24,'Data Proyek'!$U$5:$U$204))</f>
        <v>0</v>
      </c>
      <c r="H24" s="22">
        <f>IF($A24="","",COUNTIFS('Data Proyek'!$I$5:$I$204,$A24,'Data Proyek'!$T$5:$T$204,"KRITIS"))</f>
        <v>0</v>
      </c>
    </row>
    <row r="25" spans="1:9" ht="15.75" customHeight="1">
      <c r="A25" s="26" t="s">
        <v>144</v>
      </c>
      <c r="B25" s="27">
        <f t="shared" ref="B25:H25" si="1">SUM(B22:B24)</f>
        <v>13</v>
      </c>
      <c r="C25" s="27">
        <f t="shared" si="1"/>
        <v>2</v>
      </c>
      <c r="D25" s="27">
        <f t="shared" si="1"/>
        <v>2</v>
      </c>
      <c r="E25" s="27">
        <f t="shared" si="1"/>
        <v>0</v>
      </c>
      <c r="F25" s="27">
        <f t="shared" si="1"/>
        <v>17</v>
      </c>
      <c r="G25" s="28">
        <f t="shared" si="1"/>
        <v>11503854400</v>
      </c>
      <c r="H25" s="27">
        <f t="shared" ca="1" si="1"/>
        <v>0</v>
      </c>
    </row>
    <row r="26" spans="1:9" ht="15.75" customHeight="1"/>
    <row r="27" spans="1:9" ht="19.5" customHeight="1">
      <c r="A27" s="34" t="s">
        <v>145</v>
      </c>
      <c r="B27" s="35"/>
      <c r="C27" s="35"/>
      <c r="D27" s="35"/>
      <c r="E27" s="36"/>
    </row>
    <row r="28" spans="1:9" ht="30" customHeight="1">
      <c r="A28" s="20" t="s">
        <v>6</v>
      </c>
      <c r="B28" s="20" t="s">
        <v>7</v>
      </c>
      <c r="C28" s="20" t="s">
        <v>146</v>
      </c>
      <c r="D28" s="20" t="s">
        <v>135</v>
      </c>
      <c r="E28" s="20" t="s">
        <v>108</v>
      </c>
    </row>
    <row r="29" spans="1:9" ht="15.75" customHeight="1">
      <c r="A29" s="21" t="str">
        <f>IF(Referensi!$D$5="","",Referensi!$D$5)</f>
        <v>Jasa</v>
      </c>
      <c r="B29" s="22" t="str">
        <f>IF($A29="","",Referensi!$E$5)</f>
        <v>JAS</v>
      </c>
      <c r="C29" s="22">
        <f>IF($A29="","",COUNTIF('Data Proyek'!$J$5:$J$204,$A29))</f>
        <v>13</v>
      </c>
      <c r="D29" s="25">
        <f>IF($A29="","",SUMIF('Data Proyek'!$J$5:$J$204,$A29,'Data Proyek'!$U$5:$U$204))</f>
        <v>7318854400</v>
      </c>
      <c r="E29" s="22">
        <f ca="1">IF($A29="","",COUNTIFS('Data Proyek'!$J$5:$J$204,$A29,'Data Proyek'!$T$5:$T$204,"KRITIS"))</f>
        <v>0</v>
      </c>
    </row>
    <row r="30" spans="1:9" ht="15.75" customHeight="1">
      <c r="A30" s="21" t="str">
        <f>IF(Referensi!$D$6="","",Referensi!$D$6)</f>
        <v>Penjualan</v>
      </c>
      <c r="B30" s="22" t="str">
        <f>IF($A30="","",Referensi!$E$6)</f>
        <v>PNJ</v>
      </c>
      <c r="C30" s="22">
        <f>IF($A30="","",COUNTIF('Data Proyek'!$J$5:$J$204,$A30))</f>
        <v>2</v>
      </c>
      <c r="D30" s="25">
        <f>IF($A30="","",SUMIF('Data Proyek'!$J$5:$J$204,$A30,'Data Proyek'!$U$5:$U$204))</f>
        <v>4185000000</v>
      </c>
      <c r="E30" s="22">
        <f ca="1">IF($A30="","",COUNTIFS('Data Proyek'!$J$5:$J$204,$A30,'Data Proyek'!$T$5:$T$204,"KRITIS"))</f>
        <v>0</v>
      </c>
    </row>
    <row r="31" spans="1:9" ht="15.75" customHeight="1">
      <c r="A31" s="21" t="str">
        <f>IF(Referensi!$D$7="","",Referensi!$D$7)</f>
        <v>Riset</v>
      </c>
      <c r="B31" s="22" t="str">
        <f>IF($A31="","",Referensi!$E$7)</f>
        <v>RIS</v>
      </c>
      <c r="C31" s="22">
        <f>IF($A31="","",COUNTIF('Data Proyek'!$J$5:$J$204,$A31))</f>
        <v>2</v>
      </c>
      <c r="D31" s="25">
        <f>IF($A31="","",SUMIF('Data Proyek'!$J$5:$J$204,$A31,'Data Proyek'!$U$5:$U$204))</f>
        <v>0</v>
      </c>
      <c r="E31" s="22">
        <f ca="1">IF($A31="","",COUNTIFS('Data Proyek'!$J$5:$J$204,$A31,'Data Proyek'!$T$5:$T$204,"KRITIS"))</f>
        <v>0</v>
      </c>
    </row>
    <row r="32" spans="1:9" ht="15.75" customHeight="1">
      <c r="A32" s="21" t="str">
        <f>IF(Referensi!$D$8="","",Referensi!$D$8)</f>
        <v>Training</v>
      </c>
      <c r="B32" s="22" t="str">
        <f>IF($A32="","",Referensi!$E$8)</f>
        <v>TRN</v>
      </c>
      <c r="C32" s="22">
        <f>IF($A32="","",COUNTIF('Data Proyek'!$J$5:$J$204,$A32))</f>
        <v>0</v>
      </c>
      <c r="D32" s="25">
        <f>IF($A32="","",SUMIF('Data Proyek'!$J$5:$J$204,$A32,'Data Proyek'!$U$5:$U$204))</f>
        <v>0</v>
      </c>
      <c r="E32" s="22">
        <f>IF($A32="","",COUNTIFS('Data Proyek'!$J$5:$J$204,$A32,'Data Proyek'!$T$5:$T$204,"KRITIS"))</f>
        <v>0</v>
      </c>
    </row>
    <row r="33" spans="1:5" ht="15.75" customHeight="1"/>
    <row r="34" spans="1:5" ht="15.75" customHeight="1"/>
    <row r="35" spans="1:5" ht="19.5" customHeight="1">
      <c r="A35" s="34" t="s">
        <v>151</v>
      </c>
      <c r="B35" s="35"/>
      <c r="C35" s="35"/>
      <c r="D35" s="35"/>
      <c r="E35" s="36"/>
    </row>
    <row r="36" spans="1:5" ht="30" customHeight="1">
      <c r="A36" s="20" t="s">
        <v>27</v>
      </c>
      <c r="B36" s="20" t="s">
        <v>107</v>
      </c>
      <c r="C36" s="20" t="s">
        <v>135</v>
      </c>
      <c r="D36" s="20" t="s">
        <v>108</v>
      </c>
      <c r="E36" s="20" t="s">
        <v>112</v>
      </c>
    </row>
    <row r="37" spans="1:5" ht="15.75" customHeight="1">
      <c r="A37" s="21" t="str">
        <f>IF(Referensi!$G$5="","",Referensi!$G$5)</f>
        <v>Harir</v>
      </c>
      <c r="B37" s="22">
        <f>IF($A37="","",COUNTIF('Data Proyek'!$K$5:$K$204,$A37))</f>
        <v>5</v>
      </c>
      <c r="C37" s="25">
        <f>IF($A37="","",SUMIF('Data Proyek'!$K$5:$K$204,$A37,'Data Proyek'!$U$5:$U$204))</f>
        <v>913139900</v>
      </c>
      <c r="D37" s="22">
        <f ca="1">IF($A37="","",COUNTIFS('Data Proyek'!$K$5:$K$204,$A37,'Data Proyek'!$T$5:$T$204,"KRITIS"))</f>
        <v>0</v>
      </c>
      <c r="E37" s="22">
        <f ca="1">IF($A37="","",COUNTIFS('Data Proyek'!$K$5:$K$204,$A37,'Data Proyek'!$Q$5:$Q$204,"&lt;0"))</f>
        <v>0</v>
      </c>
    </row>
    <row r="38" spans="1:5" ht="15.75" customHeight="1">
      <c r="A38" s="21" t="str">
        <f>IF(Referensi!$G$6="","",Referensi!$G$6)</f>
        <v>Nurdiyansah</v>
      </c>
      <c r="B38" s="22">
        <f>IF($A38="","",COUNTIF('Data Proyek'!$K$5:$K$204,$A38))</f>
        <v>3</v>
      </c>
      <c r="C38" s="25">
        <f>IF($A38="","",SUMIF('Data Proyek'!$K$5:$K$204,$A38,'Data Proyek'!$U$5:$U$204))</f>
        <v>3053300000</v>
      </c>
      <c r="D38" s="22">
        <f ca="1">IF($A38="","",COUNTIFS('Data Proyek'!$K$5:$K$204,$A38,'Data Proyek'!$T$5:$T$204,"KRITIS"))</f>
        <v>0</v>
      </c>
      <c r="E38" s="22">
        <f ca="1">IF($A38="","",COUNTIFS('Data Proyek'!$K$5:$K$204,$A38,'Data Proyek'!$Q$5:$Q$204,"&lt;0"))</f>
        <v>0</v>
      </c>
    </row>
    <row r="39" spans="1:5" ht="15.75" customHeight="1">
      <c r="A39" s="21" t="str">
        <f>IF(Referensi!$G$7="","",Referensi!$G$7)</f>
        <v>Rika</v>
      </c>
      <c r="B39" s="22">
        <f>IF($A39="","",COUNTIF('Data Proyek'!$K$5:$K$204,$A39))</f>
        <v>9</v>
      </c>
      <c r="C39" s="25">
        <f>IF($A39="","",SUMIF('Data Proyek'!$K$5:$K$204,$A39,'Data Proyek'!$U$5:$U$204))</f>
        <v>7537414500</v>
      </c>
      <c r="D39" s="22">
        <f ca="1">IF($A39="","",COUNTIFS('Data Proyek'!$K$5:$K$204,$A39,'Data Proyek'!$T$5:$T$204,"KRITIS"))</f>
        <v>0</v>
      </c>
      <c r="E39" s="22">
        <f ca="1">IF($A39="","",COUNTIFS('Data Proyek'!$K$5:$K$204,$A39,'Data Proyek'!$Q$5:$Q$204,"&lt;0"))</f>
        <v>0</v>
      </c>
    </row>
    <row r="40" spans="1:5" ht="15.75" customHeight="1">
      <c r="A40" s="21" t="str">
        <f>IF(Referensi!$G$8="","",Referensi!$G$8)</f>
        <v>Nama PIC 4</v>
      </c>
      <c r="B40" s="22">
        <f>IF($A40="","",COUNTIF('Data Proyek'!$K$5:$K$204,$A40))</f>
        <v>0</v>
      </c>
      <c r="C40" s="25">
        <f>IF($A40="","",SUMIF('Data Proyek'!$K$5:$K$204,$A40,'Data Proyek'!$U$5:$U$204))</f>
        <v>0</v>
      </c>
      <c r="D40" s="22">
        <f>IF($A40="","",COUNTIFS('Data Proyek'!$K$5:$K$204,$A40,'Data Proyek'!$T$5:$T$204,"KRITIS"))</f>
        <v>0</v>
      </c>
      <c r="E40" s="22">
        <f>IF($A40="","",COUNTIFS('Data Proyek'!$K$5:$K$204,$A40,'Data Proyek'!$Q$5:$Q$204,"&lt;0"))</f>
        <v>0</v>
      </c>
    </row>
    <row r="41" spans="1:5" ht="15.75" customHeight="1">
      <c r="A41" s="21" t="str">
        <f>IF(Referensi!$G$9="","",Referensi!$G$9)</f>
        <v>Nama PIC 5</v>
      </c>
      <c r="B41" s="22">
        <f>IF($A41="","",COUNTIF('Data Proyek'!$K$5:$K$204,$A41))</f>
        <v>0</v>
      </c>
      <c r="C41" s="25">
        <f>IF($A41="","",SUMIF('Data Proyek'!$K$5:$K$204,$A41,'Data Proyek'!$U$5:$U$204))</f>
        <v>0</v>
      </c>
      <c r="D41" s="22">
        <f>IF($A41="","",COUNTIFS('Data Proyek'!$K$5:$K$204,$A41,'Data Proyek'!$T$5:$T$204,"KRITIS"))</f>
        <v>0</v>
      </c>
      <c r="E41" s="22">
        <f>IF($A41="","",COUNTIFS('Data Proyek'!$K$5:$K$204,$A41,'Data Proyek'!$Q$5:$Q$204,"&lt;0"))</f>
        <v>0</v>
      </c>
    </row>
    <row r="42" spans="1:5" ht="15.75" customHeight="1">
      <c r="A42" s="21" t="str">
        <f>IF(Referensi!$G$10="","",Referensi!$G$10)</f>
        <v>Nama PIC 6</v>
      </c>
      <c r="B42" s="22">
        <f>IF($A42="","",COUNTIF('Data Proyek'!$K$5:$K$204,$A42))</f>
        <v>0</v>
      </c>
      <c r="C42" s="25">
        <f>IF($A42="","",SUMIF('Data Proyek'!$K$5:$K$204,$A42,'Data Proyek'!$U$5:$U$204))</f>
        <v>0</v>
      </c>
      <c r="D42" s="22">
        <f>IF($A42="","",COUNTIFS('Data Proyek'!$K$5:$K$204,$A42,'Data Proyek'!$T$5:$T$204,"KRITIS"))</f>
        <v>0</v>
      </c>
      <c r="E42" s="22">
        <f>IF($A42="","",COUNTIFS('Data Proyek'!$K$5:$K$204,$A42,'Data Proyek'!$Q$5:$Q$204,"&lt;0"))</f>
        <v>0</v>
      </c>
    </row>
    <row r="43" spans="1:5" ht="15.75" customHeight="1">
      <c r="A43" s="21" t="str">
        <f>IF(Referensi!$G$11="","",Referensi!$G$11)</f>
        <v>Nama PIC 7</v>
      </c>
      <c r="B43" s="22">
        <f>IF($A43="","",COUNTIF('Data Proyek'!$K$5:$K$204,$A43))</f>
        <v>0</v>
      </c>
      <c r="C43" s="25">
        <f>IF($A43="","",SUMIF('Data Proyek'!$K$5:$K$204,$A43,'Data Proyek'!$U$5:$U$204))</f>
        <v>0</v>
      </c>
      <c r="D43" s="22">
        <f>IF($A43="","",COUNTIFS('Data Proyek'!$K$5:$K$204,$A43,'Data Proyek'!$T$5:$T$204,"KRITIS"))</f>
        <v>0</v>
      </c>
      <c r="E43" s="22">
        <f>IF($A43="","",COUNTIFS('Data Proyek'!$K$5:$K$204,$A43,'Data Proyek'!$Q$5:$Q$204,"&lt;0"))</f>
        <v>0</v>
      </c>
    </row>
    <row r="44" spans="1:5" ht="15.75" customHeight="1">
      <c r="A44" s="21" t="str">
        <f>IF(Referensi!$G$12="","",Referensi!$G$12)</f>
        <v>Nama PIC 8</v>
      </c>
      <c r="B44" s="22">
        <f>IF($A44="","",COUNTIF('Data Proyek'!$K$5:$K$204,$A44))</f>
        <v>0</v>
      </c>
      <c r="C44" s="25">
        <f>IF($A44="","",SUMIF('Data Proyek'!$K$5:$K$204,$A44,'Data Proyek'!$U$5:$U$204))</f>
        <v>0</v>
      </c>
      <c r="D44" s="22">
        <f>IF($A44="","",COUNTIFS('Data Proyek'!$K$5:$K$204,$A44,'Data Proyek'!$T$5:$T$204,"KRITIS"))</f>
        <v>0</v>
      </c>
      <c r="E44" s="22">
        <f>IF($A44="","",COUNTIFS('Data Proyek'!$K$5:$K$204,$A44,'Data Proyek'!$Q$5:$Q$204,"&lt;0"))</f>
        <v>0</v>
      </c>
    </row>
    <row r="45" spans="1:5" ht="15.75" customHeight="1">
      <c r="A45" s="26" t="s">
        <v>144</v>
      </c>
      <c r="B45" s="27">
        <f t="shared" ref="B45:E45" si="2">SUM(B37:B44)</f>
        <v>17</v>
      </c>
      <c r="C45" s="28">
        <f t="shared" si="2"/>
        <v>11503854400</v>
      </c>
      <c r="D45" s="27">
        <f t="shared" ca="1" si="2"/>
        <v>0</v>
      </c>
      <c r="E45" s="27">
        <f t="shared" ca="1" si="2"/>
        <v>0</v>
      </c>
    </row>
    <row r="46" spans="1:5" ht="15.75" customHeight="1"/>
    <row r="47" spans="1:5" ht="19.5" customHeight="1">
      <c r="A47" s="34" t="s">
        <v>160</v>
      </c>
      <c r="B47" s="35"/>
      <c r="C47" s="36"/>
    </row>
    <row r="48" spans="1:5" ht="30" customHeight="1">
      <c r="A48" s="20" t="s">
        <v>42</v>
      </c>
      <c r="B48" s="20" t="s">
        <v>146</v>
      </c>
      <c r="C48" s="20" t="s">
        <v>135</v>
      </c>
    </row>
    <row r="49" spans="1:3" ht="15.75" customHeight="1">
      <c r="A49" s="21" t="s">
        <v>161</v>
      </c>
      <c r="B49" s="22">
        <f ca="1">COUNTIF('Data Proyek'!$T$5:$T$204,$A49)</f>
        <v>0</v>
      </c>
      <c r="C49" s="25">
        <f ca="1">SUMIF('Data Proyek'!$T$5:$T$204,$A49,'Data Proyek'!$U$5:$U$204)</f>
        <v>0</v>
      </c>
    </row>
    <row r="50" spans="1:3" ht="15.75" customHeight="1">
      <c r="A50" s="21" t="s">
        <v>162</v>
      </c>
      <c r="B50" s="22">
        <f ca="1">COUNTIF('Data Proyek'!$T$5:$T$204,$A50)</f>
        <v>7</v>
      </c>
      <c r="C50" s="25">
        <f ca="1">SUMIF('Data Proyek'!$T$5:$T$204,$A50,'Data Proyek'!$U$5:$U$204)</f>
        <v>9293970000</v>
      </c>
    </row>
    <row r="51" spans="1:3" ht="15.75" customHeight="1">
      <c r="A51" s="21" t="s">
        <v>163</v>
      </c>
      <c r="B51" s="22">
        <f ca="1">COUNTIF('Data Proyek'!$T$5:$T$204,$A51)</f>
        <v>10</v>
      </c>
      <c r="C51" s="25">
        <f ca="1">SUMIF('Data Proyek'!$T$5:$T$204,$A51,'Data Proyek'!$U$5:$U$204)</f>
        <v>2209884400</v>
      </c>
    </row>
    <row r="52" spans="1:3" ht="15.75" customHeight="1">
      <c r="A52" s="21" t="s">
        <v>164</v>
      </c>
      <c r="B52" s="22">
        <f ca="1">COUNTIF('Data Proyek'!$T$5:$T$204,$A52)</f>
        <v>0</v>
      </c>
      <c r="C52" s="25">
        <f ca="1">SUMIF('Data Proyek'!$T$5:$T$204,$A52,'Data Proyek'!$U$5:$U$204)</f>
        <v>0</v>
      </c>
    </row>
    <row r="53" spans="1:3" ht="15.75" customHeight="1">
      <c r="A53" s="21" t="s">
        <v>165</v>
      </c>
      <c r="B53" s="22">
        <f ca="1">COUNTIF('Data Proyek'!$T$5:$T$204,$A53)</f>
        <v>0</v>
      </c>
      <c r="C53" s="25">
        <f ca="1">SUMIF('Data Proyek'!$T$5:$T$204,$A53,'Data Proyek'!$U$5:$U$204)</f>
        <v>0</v>
      </c>
    </row>
    <row r="54" spans="1:3" ht="15.75" customHeight="1"/>
    <row r="55" spans="1:3" ht="15.75" customHeight="1"/>
    <row r="56" spans="1:3" ht="19.5" customHeight="1">
      <c r="A56" s="34" t="s">
        <v>166</v>
      </c>
      <c r="B56" s="35"/>
      <c r="C56" s="36"/>
    </row>
    <row r="57" spans="1:3" ht="30" customHeight="1">
      <c r="A57" s="20" t="s">
        <v>29</v>
      </c>
      <c r="B57" s="20" t="s">
        <v>146</v>
      </c>
      <c r="C57" s="20" t="s">
        <v>135</v>
      </c>
    </row>
    <row r="58" spans="1:3" ht="15.75" customHeight="1">
      <c r="A58" s="21" t="str">
        <f>IF(Referensi!$I$5="","",Referensi!$I$5)</f>
        <v>Prospek</v>
      </c>
      <c r="B58" s="22">
        <f>IF($A58="","",COUNTIF('Data Proyek'!$L$5:$L$204,$A58))</f>
        <v>0</v>
      </c>
      <c r="C58" s="25">
        <f>IF($A58="","",SUMIF('Data Proyek'!$L$5:$L$204,$A58,'Data Proyek'!$U$5:$U$204))</f>
        <v>0</v>
      </c>
    </row>
    <row r="59" spans="1:3" ht="15.75" customHeight="1">
      <c r="A59" s="21" t="str">
        <f>IF(Referensi!$I$6="","",Referensi!$I$6)</f>
        <v>Penawaran</v>
      </c>
      <c r="B59" s="22">
        <f>IF($A59="","",COUNTIF('Data Proyek'!$L$5:$L$204,$A59))</f>
        <v>9</v>
      </c>
      <c r="C59" s="25">
        <f>IF($A59="","",SUMIF('Data Proyek'!$L$5:$L$204,$A59,'Data Proyek'!$U$5:$U$204))</f>
        <v>5680509000</v>
      </c>
    </row>
    <row r="60" spans="1:3" ht="15.75" customHeight="1">
      <c r="A60" s="21" t="str">
        <f>IF(Referensi!$I$7="","",Referensi!$I$7)</f>
        <v>Negosiasi</v>
      </c>
      <c r="B60" s="22">
        <f>IF($A60="","",COUNTIF('Data Proyek'!$L$5:$L$204,$A60))</f>
        <v>5</v>
      </c>
      <c r="C60" s="25">
        <f>IF($A60="","",SUMIF('Data Proyek'!$L$5:$L$204,$A60,'Data Proyek'!$U$5:$U$204))</f>
        <v>5671245400</v>
      </c>
    </row>
    <row r="61" spans="1:3" ht="15.75" customHeight="1">
      <c r="A61" s="21" t="str">
        <f>IF(Referensi!$I$8="","",Referensi!$I$8)</f>
        <v>Berjalan</v>
      </c>
      <c r="B61" s="22">
        <f>IF($A61="","",COUNTIF('Data Proyek'!$L$5:$L$204,$A61))</f>
        <v>3</v>
      </c>
      <c r="C61" s="25">
        <f>IF($A61="","",SUMIF('Data Proyek'!$L$5:$L$204,$A61,'Data Proyek'!$U$5:$U$204))</f>
        <v>152100000</v>
      </c>
    </row>
    <row r="62" spans="1:3" ht="15.75" customHeight="1">
      <c r="A62" s="21" t="str">
        <f>IF(Referensi!$I$9="","",Referensi!$I$9)</f>
        <v>Selesai</v>
      </c>
      <c r="B62" s="22">
        <f>IF($A62="","",COUNTIF('Data Proyek'!$L$5:$L$204,$A62))</f>
        <v>0</v>
      </c>
      <c r="C62" s="25">
        <f>IF($A62="","",SUMIF('Data Proyek'!$L$5:$L$204,$A62,'Data Proyek'!$U$5:$U$204))</f>
        <v>0</v>
      </c>
    </row>
    <row r="63" spans="1:3" ht="15.75" customHeight="1">
      <c r="A63" s="21" t="str">
        <f>IF(Referensi!$I$10="","",Referensi!$I$10)</f>
        <v>Tertunda</v>
      </c>
      <c r="B63" s="22">
        <f>IF($A63="","",COUNTIF('Data Proyek'!$L$5:$L$204,$A63))</f>
        <v>0</v>
      </c>
      <c r="C63" s="25">
        <f>IF($A63="","",SUMIF('Data Proyek'!$L$5:$L$204,$A63,'Data Proyek'!$U$5:$U$204))</f>
        <v>0</v>
      </c>
    </row>
    <row r="64" spans="1:3" ht="15.75" customHeight="1">
      <c r="A64" s="21" t="str">
        <f>IF(Referensi!$I$11="","",Referensi!$I$11)</f>
        <v>Batal</v>
      </c>
      <c r="B64" s="22">
        <f>IF($A64="","",COUNTIF('Data Proyek'!$L$5:$L$204,$A64))</f>
        <v>0</v>
      </c>
      <c r="C64" s="25">
        <f>IF($A64="","",SUMIF('Data Proyek'!$L$5:$L$204,$A64,'Data Proyek'!$U$5:$U$204))</f>
        <v>0</v>
      </c>
    </row>
    <row r="65" spans="1:4" ht="15.75" customHeight="1"/>
    <row r="66" spans="1:4" ht="15.75" customHeight="1"/>
    <row r="67" spans="1:4" ht="19.5" customHeight="1">
      <c r="A67" s="34" t="s">
        <v>171</v>
      </c>
      <c r="B67" s="35"/>
      <c r="C67" s="35"/>
      <c r="D67" s="36"/>
    </row>
    <row r="68" spans="1:4" ht="30" customHeight="1">
      <c r="A68" s="20" t="s">
        <v>11</v>
      </c>
      <c r="B68" s="20" t="s">
        <v>146</v>
      </c>
      <c r="C68" s="20" t="s">
        <v>135</v>
      </c>
      <c r="D68" s="20" t="s">
        <v>108</v>
      </c>
    </row>
    <row r="69" spans="1:4" ht="15.75" customHeight="1">
      <c r="A69" s="21" t="str">
        <f>IF(Referensi!$M$5="","",Referensi!$M$5)</f>
        <v>Balai Besar Pelaksanaan Jalan Nasional</v>
      </c>
      <c r="B69" s="22">
        <f>IF($A69="","",COUNTIF('Data Proyek'!$D$5:$D$204,$A69))</f>
        <v>0</v>
      </c>
      <c r="C69" s="25">
        <f>IF($A69="","",SUMIF('Data Proyek'!$D$5:$D$204,$A69,'Data Proyek'!$U$5:$U$204))</f>
        <v>0</v>
      </c>
      <c r="D69" s="22">
        <f>IF($A69="","",COUNTIFS('Data Proyek'!$D$5:$D$204,$A69,'Data Proyek'!$T$5:$T$204,"KRITIS"))</f>
        <v>0</v>
      </c>
    </row>
    <row r="70" spans="1:4" ht="15.75" customHeight="1">
      <c r="A70" s="21" t="str">
        <f>IF(Referensi!$M$6="","",Referensi!$M$6)</f>
        <v>PT Pelindo</v>
      </c>
      <c r="B70" s="22">
        <f>IF($A70="","",COUNTIF('Data Proyek'!$D$5:$D$204,$A70))</f>
        <v>0</v>
      </c>
      <c r="C70" s="25">
        <f>IF($A70="","",SUMIF('Data Proyek'!$D$5:$D$204,$A70,'Data Proyek'!$U$5:$U$204))</f>
        <v>0</v>
      </c>
      <c r="D70" s="22">
        <f>IF($A70="","",COUNTIFS('Data Proyek'!$D$5:$D$204,$A70,'Data Proyek'!$T$5:$T$204,"KRITIS"))</f>
        <v>0</v>
      </c>
    </row>
    <row r="71" spans="1:4" ht="15.75" customHeight="1">
      <c r="A71" s="21" t="str">
        <f>IF(Referensi!$M$7="","",Referensi!$M$7)</f>
        <v>Kantor Pertanahan (BPN)</v>
      </c>
      <c r="B71" s="22">
        <f>IF($A71="","",COUNTIF('Data Proyek'!$D$5:$D$204,$A71))</f>
        <v>0</v>
      </c>
      <c r="C71" s="25">
        <f>IF($A71="","",SUMIF('Data Proyek'!$D$5:$D$204,$A71,'Data Proyek'!$U$5:$U$204))</f>
        <v>0</v>
      </c>
      <c r="D71" s="22">
        <f>IF($A71="","",COUNTIFS('Data Proyek'!$D$5:$D$204,$A71,'Data Proyek'!$T$5:$T$204,"KRITIS"))</f>
        <v>0</v>
      </c>
    </row>
    <row r="72" spans="1:4" ht="15.75" customHeight="1">
      <c r="A72" s="21" t="str">
        <f>IF(Referensi!$M$8="","",Referensi!$M$8)</f>
        <v>Universitas Diponegoro</v>
      </c>
      <c r="B72" s="22">
        <f>IF($A72="","",COUNTIF('Data Proyek'!$D$5:$D$204,$A72))</f>
        <v>0</v>
      </c>
      <c r="C72" s="25">
        <f>IF($A72="","",SUMIF('Data Proyek'!$D$5:$D$204,$A72,'Data Proyek'!$U$5:$U$204))</f>
        <v>0</v>
      </c>
      <c r="D72" s="22">
        <f>IF($A72="","",COUNTIFS('Data Proyek'!$D$5:$D$204,$A72,'Data Proyek'!$T$5:$T$204,"KRITIS"))</f>
        <v>0</v>
      </c>
    </row>
    <row r="73" spans="1:4" ht="15.75" customHeight="1">
      <c r="A73" s="21" t="str">
        <f>IF(Referensi!$M$9="","",Referensi!$M$9)</f>
        <v>Klien 5</v>
      </c>
      <c r="B73" s="22">
        <f>IF($A73="","",COUNTIF('Data Proyek'!$D$5:$D$204,$A73))</f>
        <v>0</v>
      </c>
      <c r="C73" s="25">
        <f>IF($A73="","",SUMIF('Data Proyek'!$D$5:$D$204,$A73,'Data Proyek'!$U$5:$U$204))</f>
        <v>0</v>
      </c>
      <c r="D73" s="22">
        <f>IF($A73="","",COUNTIFS('Data Proyek'!$D$5:$D$204,$A73,'Data Proyek'!$T$5:$T$204,"KRITIS"))</f>
        <v>0</v>
      </c>
    </row>
    <row r="74" spans="1:4" ht="15.75" customHeight="1">
      <c r="A74" s="21" t="str">
        <f>IF(Referensi!$M$10="","",Referensi!$M$10)</f>
        <v>Klien 6</v>
      </c>
      <c r="B74" s="22">
        <f>IF($A74="","",COUNTIF('Data Proyek'!$D$5:$D$204,$A74))</f>
        <v>0</v>
      </c>
      <c r="C74" s="25">
        <f>IF($A74="","",SUMIF('Data Proyek'!$D$5:$D$204,$A74,'Data Proyek'!$U$5:$U$204))</f>
        <v>0</v>
      </c>
      <c r="D74" s="22">
        <f>IF($A74="","",COUNTIFS('Data Proyek'!$D$5:$D$204,$A74,'Data Proyek'!$T$5:$T$204,"KRITIS"))</f>
        <v>0</v>
      </c>
    </row>
    <row r="75" spans="1:4" ht="15.75" customHeight="1">
      <c r="A75" s="21" t="str">
        <f>IF(Referensi!$M$11="","",Referensi!$M$11)</f>
        <v>Klien 7</v>
      </c>
      <c r="B75" s="22">
        <f>IF($A75="","",COUNTIF('Data Proyek'!$D$5:$D$204,$A75))</f>
        <v>0</v>
      </c>
      <c r="C75" s="25">
        <f>IF($A75="","",SUMIF('Data Proyek'!$D$5:$D$204,$A75,'Data Proyek'!$U$5:$U$204))</f>
        <v>0</v>
      </c>
      <c r="D75" s="22">
        <f>IF($A75="","",COUNTIFS('Data Proyek'!$D$5:$D$204,$A75,'Data Proyek'!$T$5:$T$204,"KRITIS"))</f>
        <v>0</v>
      </c>
    </row>
    <row r="76" spans="1:4" ht="15.75" customHeight="1">
      <c r="A76" s="21" t="str">
        <f>IF(Referensi!$M$12="","",Referensi!$M$12)</f>
        <v>Klien 8</v>
      </c>
      <c r="B76" s="22">
        <f>IF($A76="","",COUNTIF('Data Proyek'!$D$5:$D$204,$A76))</f>
        <v>0</v>
      </c>
      <c r="C76" s="25">
        <f>IF($A76="","",SUMIF('Data Proyek'!$D$5:$D$204,$A76,'Data Proyek'!$U$5:$U$204))</f>
        <v>0</v>
      </c>
      <c r="D76" s="22">
        <f>IF($A76="","",COUNTIFS('Data Proyek'!$D$5:$D$204,$A76,'Data Proyek'!$T$5:$T$204,"KRITIS"))</f>
        <v>0</v>
      </c>
    </row>
    <row r="77" spans="1:4" ht="15.75" customHeight="1">
      <c r="A77" s="21" t="str">
        <f>IF(Referensi!$M$13="","",Referensi!$M$13)</f>
        <v>Klien 9</v>
      </c>
      <c r="B77" s="22">
        <f>IF($A77="","",COUNTIF('Data Proyek'!$D$5:$D$204,$A77))</f>
        <v>0</v>
      </c>
      <c r="C77" s="25">
        <f>IF($A77="","",SUMIF('Data Proyek'!$D$5:$D$204,$A77,'Data Proyek'!$U$5:$U$204))</f>
        <v>0</v>
      </c>
      <c r="D77" s="22">
        <f>IF($A77="","",COUNTIFS('Data Proyek'!$D$5:$D$204,$A77,'Data Proyek'!$T$5:$T$204,"KRITIS"))</f>
        <v>0</v>
      </c>
    </row>
    <row r="78" spans="1:4" ht="15.75" customHeight="1">
      <c r="A78" s="21" t="str">
        <f>IF(Referensi!$M$14="","",Referensi!$M$14)</f>
        <v>Klien 10</v>
      </c>
      <c r="B78" s="22">
        <f>IF($A78="","",COUNTIF('Data Proyek'!$D$5:$D$204,$A78))</f>
        <v>0</v>
      </c>
      <c r="C78" s="25">
        <f>IF($A78="","",SUMIF('Data Proyek'!$D$5:$D$204,$A78,'Data Proyek'!$U$5:$U$204))</f>
        <v>0</v>
      </c>
      <c r="D78" s="22">
        <f>IF($A78="","",COUNTIFS('Data Proyek'!$D$5:$D$204,$A78,'Data Proyek'!$T$5:$T$204,"KRITIS"))</f>
        <v>0</v>
      </c>
    </row>
    <row r="79" spans="1:4" ht="15.75" customHeight="1"/>
    <row r="80" spans="1:4" ht="15.75" customHeight="1"/>
    <row r="81" spans="1:3" ht="19.5" customHeight="1">
      <c r="A81" s="34" t="s">
        <v>181</v>
      </c>
      <c r="B81" s="35"/>
      <c r="C81" s="36"/>
    </row>
    <row r="82" spans="1:3" ht="30" customHeight="1">
      <c r="A82" s="20" t="s">
        <v>10</v>
      </c>
      <c r="B82" s="20" t="s">
        <v>146</v>
      </c>
      <c r="C82" s="20" t="s">
        <v>135</v>
      </c>
    </row>
    <row r="83" spans="1:3" ht="15.75" customHeight="1">
      <c r="A83" s="21" t="str">
        <f>IF(Referensi!$K$5="","",Referensi!$K$5)</f>
        <v>Jawa Tengah</v>
      </c>
      <c r="B83" s="22">
        <f>IF($A83="","",COUNTIF('Data Proyek'!$H$5:$H$204,$A83))</f>
        <v>1</v>
      </c>
      <c r="C83" s="25">
        <f>IF($A83="","",SUMIF('Data Proyek'!$H$5:$H$204,$A83,'Data Proyek'!$U$5:$U$204))</f>
        <v>0</v>
      </c>
    </row>
    <row r="84" spans="1:3" ht="15.75" customHeight="1">
      <c r="A84" s="21" t="str">
        <f>IF(Referensi!$K$6="","",Referensi!$K$6)</f>
        <v>Jawa Timur</v>
      </c>
      <c r="B84" s="22">
        <f>IF($A84="","",COUNTIF('Data Proyek'!$H$5:$H$204,$A84))</f>
        <v>0</v>
      </c>
      <c r="C84" s="25">
        <f>IF($A84="","",SUMIF('Data Proyek'!$H$5:$H$204,$A84,'Data Proyek'!$U$5:$U$204))</f>
        <v>0</v>
      </c>
    </row>
    <row r="85" spans="1:3" ht="15.75" customHeight="1">
      <c r="A85" s="21" t="str">
        <f>IF(Referensi!$K$7="","",Referensi!$K$7)</f>
        <v>Jawa Barat</v>
      </c>
      <c r="B85" s="22">
        <f>IF($A85="","",COUNTIF('Data Proyek'!$H$5:$H$204,$A85))</f>
        <v>0</v>
      </c>
      <c r="C85" s="25">
        <f>IF($A85="","",SUMIF('Data Proyek'!$H$5:$H$204,$A85,'Data Proyek'!$U$5:$U$204))</f>
        <v>0</v>
      </c>
    </row>
    <row r="86" spans="1:3" ht="15.75" customHeight="1">
      <c r="A86" s="21" t="str">
        <f>IF(Referensi!$K$8="","",Referensi!$K$8)</f>
        <v>DKI Jakarta</v>
      </c>
      <c r="B86" s="22">
        <f>IF($A86="","",COUNTIF('Data Proyek'!$H$5:$H$204,$A86))</f>
        <v>0</v>
      </c>
      <c r="C86" s="25">
        <f>IF($A86="","",SUMIF('Data Proyek'!$H$5:$H$204,$A86,'Data Proyek'!$U$5:$U$204))</f>
        <v>0</v>
      </c>
    </row>
    <row r="87" spans="1:3" ht="15.75" customHeight="1">
      <c r="A87" s="21" t="str">
        <f>IF(Referensi!$K$9="","",Referensi!$K$9)</f>
        <v>Banten</v>
      </c>
      <c r="B87" s="22">
        <f>IF($A87="","",COUNTIF('Data Proyek'!$H$5:$H$204,$A87))</f>
        <v>0</v>
      </c>
      <c r="C87" s="25">
        <f>IF($A87="","",SUMIF('Data Proyek'!$H$5:$H$204,$A87,'Data Proyek'!$U$5:$U$204))</f>
        <v>0</v>
      </c>
    </row>
    <row r="88" spans="1:3" ht="15.75" customHeight="1">
      <c r="A88" s="21" t="str">
        <f>IF(Referensi!$K$10="","",Referensi!$K$10)</f>
        <v>DI Yogyakarta</v>
      </c>
      <c r="B88" s="22">
        <f>IF($A88="","",COUNTIF('Data Proyek'!$H$5:$H$204,$A88))</f>
        <v>0</v>
      </c>
      <c r="C88" s="25">
        <f>IF($A88="","",SUMIF('Data Proyek'!$H$5:$H$204,$A88,'Data Proyek'!$U$5:$U$204))</f>
        <v>0</v>
      </c>
    </row>
    <row r="89" spans="1:3" ht="15.75" customHeight="1">
      <c r="A89" s="21" t="str">
        <f>IF(Referensi!$K$11="","",Referensi!$K$11)</f>
        <v>Kalimantan Timur</v>
      </c>
      <c r="B89" s="22">
        <f>IF($A89="","",COUNTIF('Data Proyek'!$H$5:$H$204,$A89))</f>
        <v>0</v>
      </c>
      <c r="C89" s="25">
        <f>IF($A89="","",SUMIF('Data Proyek'!$H$5:$H$204,$A89,'Data Proyek'!$U$5:$U$204))</f>
        <v>0</v>
      </c>
    </row>
    <row r="90" spans="1:3" ht="15.75" customHeight="1">
      <c r="A90" s="21" t="str">
        <f>IF(Referensi!$K$12="","",Referensi!$K$12)</f>
        <v>Sulawesi Selatan</v>
      </c>
      <c r="B90" s="22">
        <f>IF($A90="","",COUNTIF('Data Proyek'!$H$5:$H$204,$A90))</f>
        <v>2</v>
      </c>
      <c r="C90" s="25">
        <f>IF($A90="","",SUMIF('Data Proyek'!$H$5:$H$204,$A90,'Data Proyek'!$U$5:$U$204))</f>
        <v>560523400</v>
      </c>
    </row>
    <row r="91" spans="1:3" ht="15.75" customHeight="1">
      <c r="A91" s="21" t="str">
        <f>IF(Referensi!$K$13="","",Referensi!$K$13)</f>
        <v>Sumatera Utara</v>
      </c>
      <c r="B91" s="22">
        <f>IF($A91="","",COUNTIF('Data Proyek'!$H$5:$H$204,$A91))</f>
        <v>1</v>
      </c>
      <c r="C91" s="25">
        <f>IF($A91="","",SUMIF('Data Proyek'!$H$5:$H$204,$A91,'Data Proyek'!$U$5:$U$204))</f>
        <v>469021500</v>
      </c>
    </row>
    <row r="92" spans="1:3" ht="15.75" customHeight="1">
      <c r="A92" s="21" t="str">
        <f>IF(Referensi!$K$14="","",Referensi!$K$14)</f>
        <v>Bali</v>
      </c>
      <c r="B92" s="22">
        <f>IF($A92="","",COUNTIF('Data Proyek'!$H$5:$H$204,$A92))</f>
        <v>0</v>
      </c>
      <c r="C92" s="25">
        <f>IF($A92="","",SUMIF('Data Proyek'!$H$5:$H$204,$A92,'Data Proyek'!$U$5:$U$204))</f>
        <v>0</v>
      </c>
    </row>
    <row r="93" spans="1:3" ht="15.75" customHeight="1"/>
    <row r="94" spans="1:3" ht="15.75" customHeight="1"/>
    <row r="95" spans="1:3" ht="19.5" customHeight="1">
      <c r="A95" s="34" t="s">
        <v>188</v>
      </c>
      <c r="B95" s="36"/>
    </row>
    <row r="96" spans="1:3" ht="30" customHeight="1">
      <c r="A96" s="20" t="s">
        <v>189</v>
      </c>
      <c r="B96" s="20" t="s">
        <v>146</v>
      </c>
    </row>
    <row r="97" spans="1:8" ht="15.75" customHeight="1">
      <c r="A97" s="21" t="s">
        <v>190</v>
      </c>
      <c r="B97" s="22">
        <f ca="1">COUNTIF('Data Proyek'!$R$5:$R$204,$A97)</f>
        <v>3</v>
      </c>
    </row>
    <row r="98" spans="1:8" ht="15.75" customHeight="1">
      <c r="A98" s="21" t="s">
        <v>192</v>
      </c>
      <c r="B98" s="22">
        <f ca="1">COUNTIF('Data Proyek'!$R$5:$R$204,$A98)</f>
        <v>0</v>
      </c>
    </row>
    <row r="99" spans="1:8" ht="15.75" customHeight="1">
      <c r="A99" s="21" t="s">
        <v>193</v>
      </c>
      <c r="B99" s="22">
        <f ca="1">COUNTIF('Data Proyek'!$R$5:$R$204,$A99)</f>
        <v>0</v>
      </c>
    </row>
    <row r="100" spans="1:8" ht="15.75" customHeight="1">
      <c r="A100" s="21" t="s">
        <v>194</v>
      </c>
      <c r="B100" s="22">
        <f ca="1">COUNTIF('Data Proyek'!$R$5:$R$204,$A100)</f>
        <v>14</v>
      </c>
    </row>
    <row r="101" spans="1:8" ht="15.75" customHeight="1"/>
    <row r="102" spans="1:8" ht="15.75" customHeight="1"/>
    <row r="103" spans="1:8" ht="15.75" customHeight="1">
      <c r="A103" s="30" t="s">
        <v>195</v>
      </c>
    </row>
    <row r="104" spans="1:8" ht="15.75" customHeight="1">
      <c r="A104" s="37" t="s">
        <v>196</v>
      </c>
      <c r="B104" s="32"/>
      <c r="C104" s="32"/>
      <c r="D104" s="32"/>
      <c r="E104" s="32"/>
      <c r="F104" s="32"/>
      <c r="G104" s="32"/>
      <c r="H104" s="32"/>
    </row>
    <row r="105" spans="1:8" ht="15.75" customHeight="1">
      <c r="A105" s="37" t="s">
        <v>197</v>
      </c>
      <c r="B105" s="32"/>
      <c r="C105" s="32"/>
      <c r="D105" s="32"/>
      <c r="E105" s="32"/>
      <c r="F105" s="32"/>
      <c r="G105" s="32"/>
      <c r="H105" s="32"/>
    </row>
    <row r="106" spans="1:8" ht="15.75" customHeight="1">
      <c r="A106" s="37" t="s">
        <v>198</v>
      </c>
      <c r="B106" s="32"/>
      <c r="C106" s="32"/>
      <c r="D106" s="32"/>
      <c r="E106" s="32"/>
      <c r="F106" s="32"/>
      <c r="G106" s="32"/>
      <c r="H106" s="32"/>
    </row>
    <row r="107" spans="1:8" ht="15.75" customHeight="1">
      <c r="A107" s="37" t="s">
        <v>199</v>
      </c>
      <c r="B107" s="32"/>
      <c r="C107" s="32"/>
      <c r="D107" s="32"/>
      <c r="E107" s="32"/>
      <c r="F107" s="32"/>
      <c r="G107" s="32"/>
      <c r="H107" s="32"/>
    </row>
    <row r="108" spans="1:8" ht="15.75" customHeight="1">
      <c r="A108" s="37" t="s">
        <v>200</v>
      </c>
      <c r="B108" s="32"/>
      <c r="C108" s="32"/>
      <c r="D108" s="32"/>
      <c r="E108" s="32"/>
      <c r="F108" s="32"/>
      <c r="G108" s="32"/>
      <c r="H108" s="32"/>
    </row>
    <row r="109" spans="1:8" ht="15.75" customHeight="1">
      <c r="A109" s="38"/>
      <c r="B109" s="32"/>
      <c r="C109" s="32"/>
      <c r="D109" s="32"/>
      <c r="E109" s="32"/>
      <c r="F109" s="32"/>
      <c r="G109" s="32"/>
      <c r="H109" s="32"/>
    </row>
    <row r="110" spans="1:8" ht="15.75" customHeight="1">
      <c r="A110" s="37" t="s">
        <v>201</v>
      </c>
      <c r="B110" s="32"/>
      <c r="C110" s="32"/>
      <c r="D110" s="32"/>
      <c r="E110" s="32"/>
      <c r="F110" s="32"/>
      <c r="G110" s="32"/>
      <c r="H110" s="32"/>
    </row>
    <row r="111" spans="1:8" ht="15.75" customHeight="1">
      <c r="A111" s="37" t="s">
        <v>202</v>
      </c>
      <c r="B111" s="32"/>
      <c r="C111" s="32"/>
      <c r="D111" s="32"/>
      <c r="E111" s="32"/>
      <c r="F111" s="32"/>
      <c r="G111" s="32"/>
      <c r="H111" s="32"/>
    </row>
    <row r="112" spans="1:8" ht="15.75" customHeight="1">
      <c r="A112" s="37" t="s">
        <v>203</v>
      </c>
      <c r="B112" s="32"/>
      <c r="C112" s="32"/>
      <c r="D112" s="32"/>
      <c r="E112" s="32"/>
      <c r="F112" s="32"/>
      <c r="G112" s="32"/>
      <c r="H112" s="32"/>
    </row>
    <row r="113" spans="1:8" ht="15.75" customHeight="1">
      <c r="A113" s="37" t="s">
        <v>204</v>
      </c>
      <c r="B113" s="32"/>
      <c r="C113" s="32"/>
      <c r="D113" s="32"/>
      <c r="E113" s="32"/>
      <c r="F113" s="32"/>
      <c r="G113" s="32"/>
      <c r="H113" s="32"/>
    </row>
    <row r="114" spans="1:8" ht="15.75" customHeight="1">
      <c r="A114" s="37" t="s">
        <v>205</v>
      </c>
      <c r="B114" s="32"/>
      <c r="C114" s="32"/>
      <c r="D114" s="32"/>
      <c r="E114" s="32"/>
      <c r="F114" s="32"/>
      <c r="G114" s="32"/>
      <c r="H114" s="32"/>
    </row>
    <row r="115" spans="1:8" ht="15.75" customHeight="1">
      <c r="A115" s="37" t="s">
        <v>206</v>
      </c>
      <c r="B115" s="32"/>
      <c r="C115" s="32"/>
      <c r="D115" s="32"/>
      <c r="E115" s="32"/>
      <c r="F115" s="32"/>
      <c r="G115" s="32"/>
      <c r="H115" s="32"/>
    </row>
    <row r="116" spans="1:8" ht="15.75" customHeight="1">
      <c r="A116" s="37" t="s">
        <v>207</v>
      </c>
      <c r="B116" s="32"/>
      <c r="C116" s="32"/>
      <c r="D116" s="32"/>
      <c r="E116" s="32"/>
      <c r="F116" s="32"/>
      <c r="G116" s="32"/>
      <c r="H116" s="32"/>
    </row>
    <row r="117" spans="1:8" ht="15.75" customHeight="1">
      <c r="A117" s="38"/>
      <c r="B117" s="32"/>
      <c r="C117" s="32"/>
      <c r="D117" s="32"/>
      <c r="E117" s="32"/>
      <c r="F117" s="32"/>
      <c r="G117" s="32"/>
      <c r="H117" s="32"/>
    </row>
    <row r="118" spans="1:8" ht="15.75" customHeight="1">
      <c r="A118" s="37" t="s">
        <v>208</v>
      </c>
      <c r="B118" s="32"/>
      <c r="C118" s="32"/>
      <c r="D118" s="32"/>
      <c r="E118" s="32"/>
      <c r="F118" s="32"/>
      <c r="G118" s="32"/>
      <c r="H118" s="32"/>
    </row>
    <row r="119" spans="1:8" ht="15.75" customHeight="1">
      <c r="A119" s="37" t="s">
        <v>209</v>
      </c>
      <c r="B119" s="32"/>
      <c r="C119" s="32"/>
      <c r="D119" s="32"/>
      <c r="E119" s="32"/>
      <c r="F119" s="32"/>
      <c r="G119" s="32"/>
      <c r="H119" s="32"/>
    </row>
    <row r="120" spans="1:8" ht="15.75" customHeight="1">
      <c r="A120" s="37" t="s">
        <v>210</v>
      </c>
      <c r="B120" s="32"/>
      <c r="C120" s="32"/>
      <c r="D120" s="32"/>
      <c r="E120" s="32"/>
      <c r="F120" s="32"/>
      <c r="G120" s="32"/>
      <c r="H120" s="32"/>
    </row>
    <row r="121" spans="1:8" ht="15.75" customHeight="1">
      <c r="A121" s="37" t="s">
        <v>211</v>
      </c>
      <c r="B121" s="32"/>
      <c r="C121" s="32"/>
      <c r="D121" s="32"/>
      <c r="E121" s="32"/>
      <c r="F121" s="32"/>
      <c r="G121" s="32"/>
      <c r="H121" s="32"/>
    </row>
    <row r="122" spans="1:8" ht="15.75" customHeight="1"/>
    <row r="123" spans="1:8" ht="15.75" customHeight="1"/>
    <row r="124" spans="1:8" ht="15.75" customHeight="1"/>
    <row r="125" spans="1:8" ht="15.75" customHeight="1"/>
    <row r="126" spans="1:8" ht="15.75" customHeight="1"/>
    <row r="127" spans="1:8" ht="15.75" customHeight="1"/>
    <row r="128" spans="1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20:H120"/>
    <mergeCell ref="A121:H121"/>
    <mergeCell ref="A107:H107"/>
    <mergeCell ref="A108:H108"/>
    <mergeCell ref="A109:H109"/>
    <mergeCell ref="A110:H110"/>
    <mergeCell ref="A111:H111"/>
    <mergeCell ref="A112:H112"/>
    <mergeCell ref="A113:H113"/>
    <mergeCell ref="A115:H115"/>
    <mergeCell ref="A116:H116"/>
    <mergeCell ref="A117:H117"/>
    <mergeCell ref="A118:H118"/>
    <mergeCell ref="A119:H119"/>
    <mergeCell ref="A95:B95"/>
    <mergeCell ref="A104:H104"/>
    <mergeCell ref="A105:H105"/>
    <mergeCell ref="A106:H106"/>
    <mergeCell ref="A114:H114"/>
    <mergeCell ref="A35:E35"/>
    <mergeCell ref="A47:C47"/>
    <mergeCell ref="A56:C56"/>
    <mergeCell ref="A67:D67"/>
    <mergeCell ref="A81:C81"/>
    <mergeCell ref="A1:H1"/>
    <mergeCell ref="A2:H2"/>
    <mergeCell ref="A7:H7"/>
    <mergeCell ref="A20:H20"/>
    <mergeCell ref="A27:E27"/>
  </mergeCells>
  <conditionalFormatting sqref="A49:A53">
    <cfRule type="cellIs" dxfId="23" priority="1" operator="equal">
      <formula>"KRITIS"</formula>
    </cfRule>
    <cfRule type="cellIs" dxfId="22" priority="2" operator="equal">
      <formula>"Tinggi"</formula>
    </cfRule>
    <cfRule type="cellIs" dxfId="21" priority="3" operator="equal">
      <formula>"Sedang"</formula>
    </cfRule>
    <cfRule type="cellIs" dxfId="20" priority="4" operator="equal">
      <formula>"Rendah"</formula>
    </cfRule>
    <cfRule type="cellIs" dxfId="19" priority="5" operator="equal">
      <formula>"Tidak aktif"</formula>
    </cfRule>
  </conditionalFormatting>
  <conditionalFormatting sqref="B5">
    <cfRule type="cellIs" dxfId="18" priority="6" operator="greaterThan">
      <formula>0</formula>
    </cfRule>
  </conditionalFormatting>
  <conditionalFormatting sqref="E9:E18">
    <cfRule type="cellIs" dxfId="17" priority="7" operator="equal">
      <formula>"KRITIS"</formula>
    </cfRule>
    <cfRule type="cellIs" dxfId="16" priority="8" operator="equal">
      <formula>"Tinggi"</formula>
    </cfRule>
    <cfRule type="cellIs" dxfId="15" priority="9" operator="equal">
      <formula>"Sedang"</formula>
    </cfRule>
    <cfRule type="cellIs" dxfId="14" priority="10" operator="equal">
      <formula>"Rendah"</formula>
    </cfRule>
    <cfRule type="cellIs" dxfId="13" priority="11" operator="equal">
      <formula>"Tidak aktif"</formula>
    </cfRule>
  </conditionalFormatting>
  <conditionalFormatting sqref="H5">
    <cfRule type="cellIs" dxfId="12" priority="12" operator="greaterThan">
      <formula>0</formula>
    </cfRule>
  </conditionalFormatting>
  <conditionalFormatting sqref="H9:H18">
    <cfRule type="cellIs" dxfId="11" priority="13" operator="lessThan">
      <formula>0</formula>
    </cfRule>
  </conditionalFormatting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22" customWidth="1"/>
    <col min="2" max="2" width="12" customWidth="1"/>
    <col min="3" max="3" width="3" customWidth="1"/>
    <col min="4" max="4" width="18" customWidth="1"/>
    <col min="5" max="5" width="11" customWidth="1"/>
    <col min="6" max="6" width="3" customWidth="1"/>
    <col min="7" max="7" width="24" customWidth="1"/>
    <col min="8" max="8" width="3" customWidth="1"/>
    <col min="9" max="9" width="16" customWidth="1"/>
    <col min="10" max="10" width="3" customWidth="1"/>
    <col min="11" max="11" width="20" customWidth="1"/>
    <col min="12" max="12" width="3" customWidth="1"/>
    <col min="13" max="13" width="34" customWidth="1"/>
    <col min="14" max="14" width="3" customWidth="1"/>
    <col min="15" max="15" width="42" customWidth="1"/>
    <col min="16" max="16" width="16" customWidth="1"/>
    <col min="17" max="26" width="8.7109375" customWidth="1"/>
  </cols>
  <sheetData>
    <row r="1" spans="1:16" ht="16.5">
      <c r="A1" s="1" t="s">
        <v>0</v>
      </c>
    </row>
    <row r="2" spans="1:16">
      <c r="A2" s="3" t="s">
        <v>2</v>
      </c>
    </row>
    <row r="4" spans="1:16" ht="25.5">
      <c r="A4" s="4" t="s">
        <v>3</v>
      </c>
      <c r="B4" s="4" t="s">
        <v>5</v>
      </c>
      <c r="D4" s="4" t="s">
        <v>6</v>
      </c>
      <c r="E4" s="4" t="s">
        <v>7</v>
      </c>
      <c r="G4" s="4" t="s">
        <v>8</v>
      </c>
      <c r="I4" s="4" t="s">
        <v>9</v>
      </c>
      <c r="K4" s="4" t="s">
        <v>10</v>
      </c>
      <c r="M4" s="4" t="s">
        <v>11</v>
      </c>
      <c r="O4" s="4" t="s">
        <v>13</v>
      </c>
      <c r="P4" s="4" t="s">
        <v>14</v>
      </c>
    </row>
    <row r="5" spans="1:16">
      <c r="A5" s="5" t="s">
        <v>17</v>
      </c>
      <c r="B5" s="5" t="s">
        <v>18</v>
      </c>
      <c r="D5" s="5" t="s">
        <v>20</v>
      </c>
      <c r="E5" s="5" t="s">
        <v>21</v>
      </c>
      <c r="G5" s="5" t="s">
        <v>22</v>
      </c>
      <c r="I5" s="5" t="s">
        <v>23</v>
      </c>
      <c r="K5" s="5" t="s">
        <v>24</v>
      </c>
      <c r="M5" s="5" t="s">
        <v>25</v>
      </c>
      <c r="O5" s="6" t="s">
        <v>28</v>
      </c>
      <c r="P5" s="7">
        <v>7</v>
      </c>
    </row>
    <row r="6" spans="1:16">
      <c r="A6" s="5" t="s">
        <v>35</v>
      </c>
      <c r="B6" s="5" t="s">
        <v>37</v>
      </c>
      <c r="D6" s="5" t="s">
        <v>38</v>
      </c>
      <c r="E6" s="5" t="s">
        <v>40</v>
      </c>
      <c r="G6" s="5" t="s">
        <v>41</v>
      </c>
      <c r="I6" s="5" t="s">
        <v>43</v>
      </c>
      <c r="K6" s="5" t="s">
        <v>44</v>
      </c>
      <c r="M6" s="5" t="s">
        <v>45</v>
      </c>
      <c r="O6" s="6" t="s">
        <v>46</v>
      </c>
      <c r="P6" s="7">
        <v>14</v>
      </c>
    </row>
    <row r="7" spans="1:16">
      <c r="A7" s="5" t="s">
        <v>48</v>
      </c>
      <c r="B7" s="5" t="s">
        <v>50</v>
      </c>
      <c r="D7" s="5" t="s">
        <v>51</v>
      </c>
      <c r="E7" s="5" t="s">
        <v>52</v>
      </c>
      <c r="G7" s="5" t="s">
        <v>54</v>
      </c>
      <c r="I7" s="5" t="s">
        <v>55</v>
      </c>
      <c r="K7" s="5" t="s">
        <v>56</v>
      </c>
      <c r="M7" s="5" t="s">
        <v>57</v>
      </c>
      <c r="O7" s="6" t="s">
        <v>58</v>
      </c>
      <c r="P7" s="7">
        <v>30</v>
      </c>
    </row>
    <row r="8" spans="1:16">
      <c r="D8" s="5" t="s">
        <v>59</v>
      </c>
      <c r="E8" s="5" t="s">
        <v>60</v>
      </c>
      <c r="G8" s="5" t="s">
        <v>61</v>
      </c>
      <c r="I8" s="5" t="s">
        <v>62</v>
      </c>
      <c r="K8" s="5" t="s">
        <v>63</v>
      </c>
      <c r="M8" s="5" t="s">
        <v>64</v>
      </c>
      <c r="O8" s="6" t="s">
        <v>65</v>
      </c>
      <c r="P8" s="7">
        <v>30</v>
      </c>
    </row>
    <row r="9" spans="1:16">
      <c r="G9" s="5" t="s">
        <v>66</v>
      </c>
      <c r="I9" s="5" t="s">
        <v>67</v>
      </c>
      <c r="K9" s="5" t="s">
        <v>68</v>
      </c>
      <c r="M9" s="5" t="s">
        <v>69</v>
      </c>
      <c r="O9" s="6" t="s">
        <v>70</v>
      </c>
      <c r="P9" s="7">
        <v>14</v>
      </c>
    </row>
    <row r="10" spans="1:16">
      <c r="G10" s="5" t="s">
        <v>71</v>
      </c>
      <c r="I10" s="5" t="s">
        <v>72</v>
      </c>
      <c r="K10" s="5" t="s">
        <v>73</v>
      </c>
      <c r="M10" s="5" t="s">
        <v>74</v>
      </c>
      <c r="O10" s="6" t="s">
        <v>75</v>
      </c>
      <c r="P10" s="7">
        <v>500000000</v>
      </c>
    </row>
    <row r="11" spans="1:16">
      <c r="G11" s="5" t="s">
        <v>76</v>
      </c>
      <c r="I11" s="5" t="s">
        <v>77</v>
      </c>
      <c r="K11" s="5" t="s">
        <v>78</v>
      </c>
      <c r="M11" s="5" t="s">
        <v>79</v>
      </c>
      <c r="O11" s="6" t="s">
        <v>80</v>
      </c>
      <c r="P11" s="7">
        <v>100000000</v>
      </c>
    </row>
    <row r="12" spans="1:16">
      <c r="G12" s="5" t="s">
        <v>81</v>
      </c>
      <c r="K12" s="5" t="s">
        <v>82</v>
      </c>
      <c r="M12" s="5" t="s">
        <v>83</v>
      </c>
      <c r="O12" s="6" t="s">
        <v>84</v>
      </c>
      <c r="P12" s="7">
        <v>75</v>
      </c>
    </row>
    <row r="13" spans="1:16">
      <c r="K13" s="5" t="s">
        <v>85</v>
      </c>
      <c r="M13" s="5" t="s">
        <v>86</v>
      </c>
      <c r="O13" s="6" t="s">
        <v>87</v>
      </c>
      <c r="P13" s="7">
        <v>55</v>
      </c>
    </row>
    <row r="14" spans="1:16">
      <c r="K14" s="5" t="s">
        <v>88</v>
      </c>
      <c r="M14" s="5" t="s">
        <v>89</v>
      </c>
      <c r="O14" s="6" t="s">
        <v>90</v>
      </c>
      <c r="P14" s="7">
        <v>35</v>
      </c>
    </row>
    <row r="16" spans="1:16" ht="15" customHeight="1">
      <c r="O16" s="39" t="s">
        <v>91</v>
      </c>
      <c r="P16" s="32"/>
    </row>
    <row r="17" spans="15:16" ht="15" customHeight="1">
      <c r="O17" s="32"/>
      <c r="P17" s="32"/>
    </row>
    <row r="18" spans="15:16" ht="15" customHeight="1">
      <c r="O18" s="32"/>
      <c r="P18" s="32"/>
    </row>
    <row r="19" spans="15:16" ht="15" customHeight="1">
      <c r="O19" s="32"/>
      <c r="P19" s="32"/>
    </row>
    <row r="21" spans="15:16" ht="15.75" customHeight="1"/>
    <row r="22" spans="15:16" ht="15.75" customHeight="1"/>
    <row r="23" spans="15:16" ht="15.75" customHeight="1"/>
    <row r="24" spans="15:16" ht="15.75" customHeight="1"/>
    <row r="25" spans="15:16" ht="15.75" customHeight="1"/>
    <row r="26" spans="15:16" ht="15.75" customHeight="1"/>
    <row r="27" spans="15:16" ht="15.75" customHeight="1"/>
    <row r="28" spans="15:16" ht="15.75" customHeight="1"/>
    <row r="29" spans="15:16" ht="15.75" customHeight="1"/>
    <row r="30" spans="15:16" ht="15.75" customHeight="1"/>
    <row r="31" spans="15:16" ht="15.75" customHeight="1"/>
    <row r="32" spans="15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O16:P19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0"/>
  <sheetViews>
    <sheetView showGridLines="0" workbookViewId="0">
      <pane xSplit="2" ySplit="4" topLeftCell="J11" activePane="bottomRight" state="frozen"/>
      <selection pane="topRight" activeCell="C1" sqref="C1"/>
      <selection pane="bottomLeft" activeCell="A5" sqref="A5"/>
      <selection pane="bottomRight" activeCell="L19" sqref="L19"/>
    </sheetView>
  </sheetViews>
  <sheetFormatPr defaultColWidth="14.42578125" defaultRowHeight="15" customHeight="1"/>
  <cols>
    <col min="1" max="1" width="6" customWidth="1"/>
    <col min="2" max="2" width="19" customWidth="1"/>
    <col min="3" max="3" width="34" customWidth="1"/>
    <col min="4" max="4" width="31.42578125" bestFit="1" customWidth="1"/>
    <col min="5" max="6" width="26" customWidth="1"/>
    <col min="7" max="7" width="20" customWidth="1"/>
    <col min="8" max="8" width="18" customWidth="1"/>
    <col min="9" max="9" width="16" customWidth="1"/>
    <col min="10" max="10" width="14" customWidth="1"/>
    <col min="11" max="11" width="16" customWidth="1"/>
    <col min="12" max="12" width="14" customWidth="1"/>
    <col min="13" max="13" width="13" customWidth="1"/>
    <col min="14" max="15" width="14" customWidth="1"/>
    <col min="16" max="17" width="11" customWidth="1"/>
    <col min="18" max="18" width="16" customWidth="1"/>
    <col min="19" max="19" width="10" customWidth="1"/>
    <col min="20" max="20" width="15" customWidth="1"/>
    <col min="21" max="21" width="18" customWidth="1"/>
    <col min="22" max="22" width="55" customWidth="1"/>
    <col min="23" max="23" width="10" hidden="1" customWidth="1"/>
    <col min="24" max="27" width="8.7109375" customWidth="1"/>
  </cols>
  <sheetData>
    <row r="1" spans="1:23" ht="19.5">
      <c r="A1" s="40" t="s">
        <v>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3" ht="27.75" customHeight="1">
      <c r="A2" s="41" t="s">
        <v>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3" ht="6" customHeight="1"/>
    <row r="4" spans="1:23" ht="37.5" customHeight="1">
      <c r="A4" s="4" t="s">
        <v>12</v>
      </c>
      <c r="B4" s="4" t="s">
        <v>15</v>
      </c>
      <c r="C4" s="4" t="s">
        <v>16</v>
      </c>
      <c r="D4" s="4" t="s">
        <v>11</v>
      </c>
      <c r="E4" s="4" t="s">
        <v>212</v>
      </c>
      <c r="F4" s="4" t="s">
        <v>213</v>
      </c>
      <c r="G4" s="4" t="s">
        <v>19</v>
      </c>
      <c r="H4" s="4" t="s">
        <v>10</v>
      </c>
      <c r="I4" s="4" t="s">
        <v>3</v>
      </c>
      <c r="J4" s="4" t="s">
        <v>26</v>
      </c>
      <c r="K4" s="4" t="s">
        <v>27</v>
      </c>
      <c r="L4" s="4" t="s">
        <v>29</v>
      </c>
      <c r="M4" s="4" t="s">
        <v>30</v>
      </c>
      <c r="N4" s="4" t="s">
        <v>31</v>
      </c>
      <c r="O4" s="4" t="s">
        <v>32</v>
      </c>
      <c r="P4" s="4" t="s">
        <v>33</v>
      </c>
      <c r="Q4" s="4" t="s">
        <v>34</v>
      </c>
      <c r="R4" s="4" t="s">
        <v>36</v>
      </c>
      <c r="S4" s="4" t="s">
        <v>39</v>
      </c>
      <c r="T4" s="4" t="s">
        <v>42</v>
      </c>
      <c r="U4" s="4" t="s">
        <v>47</v>
      </c>
      <c r="V4" s="4" t="s">
        <v>49</v>
      </c>
      <c r="W4" s="4" t="s">
        <v>53</v>
      </c>
    </row>
    <row r="5" spans="1:23" ht="31.5" customHeight="1">
      <c r="A5" s="8">
        <f t="shared" ref="A5:A204" si="0">IF($C5="","",ROW()-4)</f>
        <v>1</v>
      </c>
      <c r="B5" s="9" t="str">
        <f t="array" ref="B5">IF(OR($C5="",$I5="",$J5=""),"","JSI-"&amp;IFERROR(INDEX(Referensi!$B$5:$B$14,MATCH($I5,Referensi!$A$5:$A$14,0)),"???")&amp;"-"&amp;IFERROR(INDEX(Referensi!$E$5:$E$14,MATCH($J5,Referensi!$D$5:$D$14,0)),"???")&amp;"-"&amp;TEXT(COUNTIFS($I$5:$I5,$I5,$J$5:$J5,$J5),"000"))</f>
        <v>JSI-ENT-RIS-001</v>
      </c>
      <c r="C5" s="10" t="s">
        <v>92</v>
      </c>
      <c r="D5" s="10" t="s">
        <v>93</v>
      </c>
      <c r="E5" s="10"/>
      <c r="F5" s="42" t="s">
        <v>218</v>
      </c>
      <c r="G5" s="10" t="s">
        <v>94</v>
      </c>
      <c r="H5" s="10" t="s">
        <v>24</v>
      </c>
      <c r="I5" s="10" t="s">
        <v>17</v>
      </c>
      <c r="J5" s="11" t="s">
        <v>51</v>
      </c>
      <c r="K5" s="10" t="s">
        <v>22</v>
      </c>
      <c r="L5" s="11" t="s">
        <v>62</v>
      </c>
      <c r="M5" s="12">
        <v>46264</v>
      </c>
      <c r="N5" s="12">
        <v>46268</v>
      </c>
      <c r="O5" s="12">
        <v>46262</v>
      </c>
      <c r="P5" s="13">
        <f t="shared" ref="P5:P204" ca="1" si="1">IF(OR($C5="",$O5=""),"",TODAY()-$O5)</f>
        <v>0</v>
      </c>
      <c r="Q5" s="13">
        <f t="shared" ref="Q5:Q204" ca="1" si="2">IF(OR($C5="",$N5=""),"",$N5-TODAY())</f>
        <v>6</v>
      </c>
      <c r="R5" s="8" t="str">
        <f ca="1">IF($C5="","",IF($O5="","Belum ada kontak",IF($P5&gt;Referensi!$P$8,"Segera follow up",IF($P5&gt;Referensi!$P$9,"Perlu dipantau","Terkini"))))</f>
        <v>Terkini</v>
      </c>
      <c r="S5" s="13">
        <f ca="1">IF($C5="","",IF(OR($L5="Selesai",$L5="Batal"),0,IF($Q5="",5,IF($Q5&lt;0,50,IF($Q5&lt;=Referensi!$P$5,40,IF($Q5&lt;=Referensi!$P$6,30,IF($Q5&lt;=Referensi!$P$7,20,10)))))+IF($O5="",25,IF($P5&gt;Referensi!$P$8,30,IF($P5&gt;Referensi!$P$9,20,5)))+IF($U5="",5,IF($U5&gt;=Referensi!$P$10,20,IF($U5&gt;=Referensi!$P$11,10,5)))+IF($L5="Tertunda",15,IF(OR($L5="Negosiasi",$L5="Penawaran"),12,IF($L5="Berjalan",8,IF($L5="Prospek",5,0))))))</f>
        <v>58</v>
      </c>
      <c r="T5" s="8" t="str">
        <f ca="1">IF($C5="","",IF(OR($L5="Selesai",$L5="Batal"),"Tidak aktif",IF($S5&gt;=Referensi!$P$12,"KRITIS",IF($S5&gt;=Referensi!$P$13,"Tinggi",IF($S5&gt;=Referensi!$P$14,"Sedang","Rendah")))))</f>
        <v>Tinggi</v>
      </c>
      <c r="U5" s="14">
        <v>0</v>
      </c>
      <c r="V5" s="15" t="s">
        <v>95</v>
      </c>
      <c r="W5" s="16">
        <f t="shared" ref="W5:W204" ca="1" si="3">IF(OR($C5="",$T5="Tidak aktif"),"",$S5+ROW()/100000)</f>
        <v>58.000050000000002</v>
      </c>
    </row>
    <row r="6" spans="1:23" ht="31.5" customHeight="1">
      <c r="A6" s="8">
        <f t="shared" si="0"/>
        <v>2</v>
      </c>
      <c r="B6" s="9" t="str">
        <f t="array" ref="B6">IF(OR($C6="",$I6="",$J6=""),"","JSI-"&amp;IFERROR(INDEX(Referensi!$B$5:$B$14,MATCH($I6,Referensi!$A$5:$A$14,0)),"???")&amp;"-"&amp;IFERROR(INDEX(Referensi!$E$5:$E$14,MATCH($J6,Referensi!$D$5:$D$14,0)),"???")&amp;"-"&amp;TEXT(COUNTIFS($I$5:$I6,$I6,$J$5:$J6,$J6),"000"))</f>
        <v>JSI-ENT-RIS-002</v>
      </c>
      <c r="C6" s="10" t="s">
        <v>96</v>
      </c>
      <c r="D6" s="10" t="s">
        <v>97</v>
      </c>
      <c r="E6" s="10" t="s">
        <v>98</v>
      </c>
      <c r="F6" s="42" t="s">
        <v>218</v>
      </c>
      <c r="G6" s="10" t="s">
        <v>99</v>
      </c>
      <c r="H6" s="10" t="s">
        <v>99</v>
      </c>
      <c r="I6" s="10" t="s">
        <v>17</v>
      </c>
      <c r="J6" s="11" t="s">
        <v>51</v>
      </c>
      <c r="K6" s="10" t="s">
        <v>22</v>
      </c>
      <c r="L6" s="11" t="s">
        <v>62</v>
      </c>
      <c r="M6" s="12">
        <v>46272</v>
      </c>
      <c r="N6" s="12">
        <v>46272</v>
      </c>
      <c r="O6" s="12">
        <v>46262</v>
      </c>
      <c r="P6" s="13">
        <f t="shared" ca="1" si="1"/>
        <v>0</v>
      </c>
      <c r="Q6" s="13">
        <f t="shared" ca="1" si="2"/>
        <v>10</v>
      </c>
      <c r="R6" s="8" t="str">
        <f ca="1">IF($C6="","",IF($O6="","Belum ada kontak",IF($P6&gt;Referensi!$P$8,"Segera follow up",IF($P6&gt;Referensi!$P$9,"Perlu dipantau","Terkini"))))</f>
        <v>Terkini</v>
      </c>
      <c r="S6" s="13">
        <f ca="1">IF($C6="","",IF(OR($L6="Selesai",$L6="Batal"),0,IF($Q6="",5,IF($Q6&lt;0,50,IF($Q6&lt;=Referensi!$P$5,40,IF($Q6&lt;=Referensi!$P$6,30,IF($Q6&lt;=Referensi!$P$7,20,10)))))+IF($O6="",25,IF($P6&gt;Referensi!$P$8,30,IF($P6&gt;Referensi!$P$9,20,5)))+IF($U6="",5,IF($U6&gt;=Referensi!$P$10,20,IF($U6&gt;=Referensi!$P$11,10,5)))+IF($L6="Tertunda",15,IF(OR($L6="Negosiasi",$L6="Penawaran"),12,IF($L6="Berjalan",8,IF($L6="Prospek",5,0))))))</f>
        <v>48</v>
      </c>
      <c r="T6" s="8" t="str">
        <f ca="1">IF($C6="","",IF(OR($L6="Selesai",$L6="Batal"),"Tidak aktif",IF($S6&gt;=Referensi!$P$12,"KRITIS",IF($S6&gt;=Referensi!$P$13,"Tinggi",IF($S6&gt;=Referensi!$P$14,"Sedang","Rendah")))))</f>
        <v>Sedang</v>
      </c>
      <c r="U6" s="14">
        <v>0</v>
      </c>
      <c r="V6" s="15" t="s">
        <v>100</v>
      </c>
      <c r="W6" s="16">
        <f t="shared" ca="1" si="3"/>
        <v>48.000059999999998</v>
      </c>
    </row>
    <row r="7" spans="1:23" ht="31.5" customHeight="1">
      <c r="A7" s="8">
        <f t="shared" si="0"/>
        <v>3</v>
      </c>
      <c r="B7" s="9" t="str">
        <f t="array" ref="B7">IF(OR($C7="",$I7="",$J7=""),"","JSI-"&amp;IFERROR(INDEX(Referensi!$B$5:$B$14,MATCH($I7,Referensi!$A$5:$A$14,0)),"???")&amp;"-"&amp;IFERROR(INDEX(Referensi!$E$5:$E$14,MATCH($J7,Referensi!$D$5:$D$14,0)),"???")&amp;"-"&amp;TEXT(COUNTIFS($I$5:$I7,$I7,$J$5:$J7,$J7),"000"))</f>
        <v>JSI-ENT-JAS-001</v>
      </c>
      <c r="C7" s="10" t="s">
        <v>101</v>
      </c>
      <c r="D7" s="10" t="s">
        <v>102</v>
      </c>
      <c r="E7" s="10" t="s">
        <v>214</v>
      </c>
      <c r="F7" s="42" t="s">
        <v>219</v>
      </c>
      <c r="G7" s="10" t="s">
        <v>103</v>
      </c>
      <c r="H7" s="10" t="s">
        <v>104</v>
      </c>
      <c r="I7" s="10" t="s">
        <v>17</v>
      </c>
      <c r="J7" s="11" t="s">
        <v>20</v>
      </c>
      <c r="K7" s="10" t="s">
        <v>54</v>
      </c>
      <c r="L7" s="11" t="s">
        <v>62</v>
      </c>
      <c r="M7" s="12">
        <v>46209</v>
      </c>
      <c r="N7" s="12">
        <v>46271</v>
      </c>
      <c r="O7" s="12">
        <v>46271</v>
      </c>
      <c r="P7" s="13">
        <f t="shared" ca="1" si="1"/>
        <v>-9</v>
      </c>
      <c r="Q7" s="13">
        <f t="shared" ca="1" si="2"/>
        <v>9</v>
      </c>
      <c r="R7" s="8" t="str">
        <f ca="1">IF($C7="","",IF($O7="","Belum ada kontak",IF($P7&gt;Referensi!$P$8,"Segera follow up",IF($P7&gt;Referensi!$P$9,"Perlu dipantau","Terkini"))))</f>
        <v>Terkini</v>
      </c>
      <c r="S7" s="13">
        <f ca="1">IF($C7="","",IF(OR($L7="Selesai",$L7="Batal"),0,IF($Q7="",5,IF($Q7&lt;0,50,IF($Q7&lt;=Referensi!$P$5,40,IF($Q7&lt;=Referensi!$P$6,30,IF($Q7&lt;=Referensi!$P$7,20,10)))))+IF($O7="",25,IF($P7&gt;Referensi!$P$8,30,IF($P7&gt;Referensi!$P$9,20,5)))+IF($U7="",5,IF($U7&gt;=Referensi!$P$10,20,IF($U7&gt;=Referensi!$P$11,10,5)))+IF($L7="Tertunda",15,IF(OR($L7="Negosiasi",$L7="Penawaran"),12,IF($L7="Berjalan",8,IF($L7="Prospek",5,0))))))</f>
        <v>53</v>
      </c>
      <c r="T7" s="8" t="str">
        <f ca="1">IF($C7="","",IF(OR($L7="Selesai",$L7="Batal"),"Tidak aktif",IF($S7&gt;=Referensi!$P$12,"KRITIS",IF($S7&gt;=Referensi!$P$13,"Tinggi",IF($S7&gt;=Referensi!$P$14,"Sedang","Rendah")))))</f>
        <v>Sedang</v>
      </c>
      <c r="U7" s="14">
        <v>152100000</v>
      </c>
      <c r="V7" s="15" t="s">
        <v>106</v>
      </c>
      <c r="W7" s="16">
        <f t="shared" ca="1" si="3"/>
        <v>53.000070000000001</v>
      </c>
    </row>
    <row r="8" spans="1:23" ht="31.5" customHeight="1">
      <c r="A8" s="8">
        <f t="shared" si="0"/>
        <v>4</v>
      </c>
      <c r="B8" s="9" t="str">
        <f t="array" ref="B8">IF(OR($C8="",$I8="",$J8=""),"","JSI-"&amp;IFERROR(INDEX(Referensi!$B$5:$B$14,MATCH($I8,Referensi!$A$5:$A$14,0)),"???")&amp;"-"&amp;IFERROR(INDEX(Referensi!$E$5:$E$14,MATCH($J8,Referensi!$D$5:$D$14,0)),"???")&amp;"-"&amp;TEXT(COUNTIFS($I$5:$I8,$I8,$J$5:$J8,$J8),"000"))</f>
        <v>JSI-ENT-JAS-002</v>
      </c>
      <c r="C8" s="10" t="s">
        <v>113</v>
      </c>
      <c r="D8" s="10" t="s">
        <v>114</v>
      </c>
      <c r="E8" s="10" t="s">
        <v>215</v>
      </c>
      <c r="F8" s="42" t="s">
        <v>221</v>
      </c>
      <c r="G8" s="10" t="s">
        <v>115</v>
      </c>
      <c r="H8" s="10" t="s">
        <v>85</v>
      </c>
      <c r="I8" s="10" t="s">
        <v>17</v>
      </c>
      <c r="J8" s="11" t="s">
        <v>20</v>
      </c>
      <c r="K8" s="10" t="s">
        <v>54</v>
      </c>
      <c r="L8" s="11" t="s">
        <v>55</v>
      </c>
      <c r="M8" s="12"/>
      <c r="N8" s="12"/>
      <c r="O8" s="12"/>
      <c r="P8" s="13" t="str">
        <f t="shared" ca="1" si="1"/>
        <v/>
      </c>
      <c r="Q8" s="13" t="str">
        <f t="shared" ca="1" si="2"/>
        <v/>
      </c>
      <c r="R8" s="8" t="str">
        <f>IF($C8="","",IF($O8="","Belum ada kontak",IF($P8&gt;Referensi!$P$8,"Segera follow up",IF($P8&gt;Referensi!$P$9,"Perlu dipantau","Terkini"))))</f>
        <v>Belum ada kontak</v>
      </c>
      <c r="S8" s="13">
        <f ca="1">IF($C8="","",IF(OR($L8="Selesai",$L8="Batal"),0,IF($Q8="",5,IF($Q8&lt;0,50,IF($Q8&lt;=Referensi!$P$5,40,IF($Q8&lt;=Referensi!$P$6,30,IF($Q8&lt;=Referensi!$P$7,20,10)))))+IF($O8="",25,IF($P8&gt;Referensi!$P$8,30,IF($P8&gt;Referensi!$P$9,20,5)))+IF($U8="",5,IF($U8&gt;=Referensi!$P$10,20,IF($U8&gt;=Referensi!$P$11,10,5)))+IF($L8="Tertunda",15,IF(OR($L8="Negosiasi",$L8="Penawaran"),12,IF($L8="Berjalan",8,IF($L8="Prospek",5,0))))))</f>
        <v>52</v>
      </c>
      <c r="T8" s="8" t="str">
        <f ca="1">IF($C8="","",IF(OR($L8="Selesai",$L8="Batal"),"Tidak aktif",IF($S8&gt;=Referensi!$P$12,"KRITIS",IF($S8&gt;=Referensi!$P$13,"Tinggi",IF($S8&gt;=Referensi!$P$14,"Sedang","Rendah")))))</f>
        <v>Sedang</v>
      </c>
      <c r="U8" s="14">
        <f>193567500+275454000</f>
        <v>469021500</v>
      </c>
      <c r="V8" s="15" t="s">
        <v>119</v>
      </c>
      <c r="W8" s="16">
        <f t="shared" ca="1" si="3"/>
        <v>52.000079999999997</v>
      </c>
    </row>
    <row r="9" spans="1:23" ht="31.5" customHeight="1">
      <c r="A9" s="8">
        <f t="shared" si="0"/>
        <v>5</v>
      </c>
      <c r="B9" s="9" t="str">
        <f t="array" ref="B9">IF(OR($C9="",$I9="",$J9=""),"","JSI-"&amp;IFERROR(INDEX(Referensi!$B$5:$B$14,MATCH($I9,Referensi!$A$5:$A$14,0)),"???")&amp;"-"&amp;IFERROR(INDEX(Referensi!$E$5:$E$14,MATCH($J9,Referensi!$D$5:$D$14,0)),"???")&amp;"-"&amp;TEXT(COUNTIFS($I$5:$I9,$I9,$J$5:$J9,$J9),"000"))</f>
        <v>JSI-ENT-JAS-003</v>
      </c>
      <c r="C9" s="10" t="s">
        <v>120</v>
      </c>
      <c r="D9" s="10" t="s">
        <v>121</v>
      </c>
      <c r="E9" s="10"/>
      <c r="F9" s="42" t="s">
        <v>218</v>
      </c>
      <c r="G9" s="10" t="s">
        <v>122</v>
      </c>
      <c r="H9" s="10" t="s">
        <v>104</v>
      </c>
      <c r="I9" s="10" t="s">
        <v>17</v>
      </c>
      <c r="J9" s="11" t="s">
        <v>20</v>
      </c>
      <c r="K9" s="10" t="s">
        <v>41</v>
      </c>
      <c r="L9" s="11" t="s">
        <v>43</v>
      </c>
      <c r="M9" s="12"/>
      <c r="N9" s="12"/>
      <c r="O9" s="12"/>
      <c r="P9" s="13" t="str">
        <f t="shared" ca="1" si="1"/>
        <v/>
      </c>
      <c r="Q9" s="13" t="str">
        <f t="shared" ca="1" si="2"/>
        <v/>
      </c>
      <c r="R9" s="8" t="str">
        <f>IF($C9="","",IF($O9="","Belum ada kontak",IF($P9&gt;Referensi!$P$8,"Segera follow up",IF($P9&gt;Referensi!$P$9,"Perlu dipantau","Terkini"))))</f>
        <v>Belum ada kontak</v>
      </c>
      <c r="S9" s="13">
        <f ca="1">IF($C9="","",IF(OR($L9="Selesai",$L9="Batal"),0,IF($Q9="",5,IF($Q9&lt;0,50,IF($Q9&lt;=Referensi!$P$5,40,IF($Q9&lt;=Referensi!$P$6,30,IF($Q9&lt;=Referensi!$P$7,20,10)))))+IF($O9="",25,IF($P9&gt;Referensi!$P$8,30,IF($P9&gt;Referensi!$P$9,20,5)))+IF($U9="",5,IF($U9&gt;=Referensi!$P$10,20,IF($U9&gt;=Referensi!$P$11,10,5)))+IF($L9="Tertunda",15,IF(OR($L9="Negosiasi",$L9="Penawaran"),12,IF($L9="Berjalan",8,IF($L9="Prospek",5,0))))))</f>
        <v>62</v>
      </c>
      <c r="T9" s="8" t="str">
        <f ca="1">IF($C9="","",IF(OR($L9="Selesai",$L9="Batal"),"Tidak aktif",IF($S9&gt;=Referensi!$P$12,"KRITIS",IF($S9&gt;=Referensi!$P$13,"Tinggi",IF($S9&gt;=Referensi!$P$14,"Sedang","Rendah")))))</f>
        <v>Tinggi</v>
      </c>
      <c r="U9" s="14">
        <v>2205450000</v>
      </c>
      <c r="V9" s="15" t="s">
        <v>123</v>
      </c>
      <c r="W9" s="16">
        <f t="shared" ca="1" si="3"/>
        <v>62.00009</v>
      </c>
    </row>
    <row r="10" spans="1:23" ht="31.5" customHeight="1">
      <c r="A10" s="8">
        <f t="shared" si="0"/>
        <v>6</v>
      </c>
      <c r="B10" s="9" t="str">
        <f t="array" ref="B10">IF(OR($C10="",$I10="",$J10=""),"","JSI-"&amp;IFERROR(INDEX(Referensi!$B$5:$B$14,MATCH($I10,Referensi!$A$5:$A$14,0)),"???")&amp;"-"&amp;IFERROR(INDEX(Referensi!$E$5:$E$14,MATCH($J10,Referensi!$D$5:$D$14,0)),"???")&amp;"-"&amp;TEXT(COUNTIFS($I$5:$I10,$I10,$J$5:$J10,$J10),"000"))</f>
        <v>JSI-ENT-JAS-004</v>
      </c>
      <c r="C10" s="10" t="s">
        <v>124</v>
      </c>
      <c r="D10" s="10" t="s">
        <v>121</v>
      </c>
      <c r="E10" s="10"/>
      <c r="F10" s="42" t="s">
        <v>218</v>
      </c>
      <c r="G10" s="10" t="s">
        <v>122</v>
      </c>
      <c r="H10" s="10" t="s">
        <v>104</v>
      </c>
      <c r="I10" s="10" t="s">
        <v>17</v>
      </c>
      <c r="J10" s="11" t="s">
        <v>20</v>
      </c>
      <c r="K10" s="10" t="s">
        <v>41</v>
      </c>
      <c r="L10" s="11" t="s">
        <v>43</v>
      </c>
      <c r="M10" s="12"/>
      <c r="N10" s="12"/>
      <c r="O10" s="12"/>
      <c r="P10" s="13" t="str">
        <f t="shared" ca="1" si="1"/>
        <v/>
      </c>
      <c r="Q10" s="13" t="str">
        <f t="shared" ca="1" si="2"/>
        <v/>
      </c>
      <c r="R10" s="8" t="str">
        <f>IF($C10="","",IF($O10="","Belum ada kontak",IF($P10&gt;Referensi!$P$8,"Segera follow up",IF($P10&gt;Referensi!$P$9,"Perlu dipantau","Terkini"))))</f>
        <v>Belum ada kontak</v>
      </c>
      <c r="S10" s="13">
        <f ca="1">IF($C10="","",IF(OR($L10="Selesai",$L10="Batal"),0,IF($Q10="",5,IF($Q10&lt;0,50,IF($Q10&lt;=Referensi!$P$5,40,IF($Q10&lt;=Referensi!$P$6,30,IF($Q10&lt;=Referensi!$P$7,20,10)))))+IF($O10="",25,IF($P10&gt;Referensi!$P$8,30,IF($P10&gt;Referensi!$P$9,20,5)))+IF($U10="",5,IF($U10&gt;=Referensi!$P$10,20,IF($U10&gt;=Referensi!$P$11,10,5)))+IF($L10="Tertunda",15,IF(OR($L10="Negosiasi",$L10="Penawaran"),12,IF($L10="Berjalan",8,IF($L10="Prospek",5,0))))))</f>
        <v>62</v>
      </c>
      <c r="T10" s="8" t="str">
        <f ca="1">IF($C10="","",IF(OR($L10="Selesai",$L10="Batal"),"Tidak aktif",IF($S10&gt;=Referensi!$P$12,"KRITIS",IF($S10&gt;=Referensi!$P$13,"Tinggi",IF($S10&gt;=Referensi!$P$14,"Sedang","Rendah")))))</f>
        <v>Tinggi</v>
      </c>
      <c r="U10" s="14">
        <v>797850000</v>
      </c>
      <c r="V10" s="15" t="s">
        <v>123</v>
      </c>
      <c r="W10" s="16">
        <f t="shared" ca="1" si="3"/>
        <v>62.000100000000003</v>
      </c>
    </row>
    <row r="11" spans="1:23" ht="31.5" customHeight="1">
      <c r="A11" s="8">
        <f t="shared" si="0"/>
        <v>7</v>
      </c>
      <c r="B11" s="9" t="str">
        <f t="array" ref="B11">IF(OR($C11="",$I11="",$J11=""),"","JSI-"&amp;IFERROR(INDEX(Referensi!$B$5:$B$14,MATCH($I11,Referensi!$A$5:$A$14,0)),"???")&amp;"-"&amp;IFERROR(INDEX(Referensi!$E$5:$E$14,MATCH($J11,Referensi!$D$5:$D$14,0)),"???")&amp;"-"&amp;TEXT(COUNTIFS($I$5:$I11,$I11,$J$5:$J11,$J11),"000"))</f>
        <v>JSI-ENT-JAS-005</v>
      </c>
      <c r="C11" s="10" t="s">
        <v>125</v>
      </c>
      <c r="D11" s="10" t="s">
        <v>126</v>
      </c>
      <c r="E11" s="10" t="s">
        <v>216</v>
      </c>
      <c r="F11" s="42" t="s">
        <v>220</v>
      </c>
      <c r="G11" s="10" t="s">
        <v>127</v>
      </c>
      <c r="H11" s="10" t="s">
        <v>128</v>
      </c>
      <c r="I11" s="10" t="s">
        <v>17</v>
      </c>
      <c r="J11" s="11" t="s">
        <v>20</v>
      </c>
      <c r="K11" s="10" t="s">
        <v>54</v>
      </c>
      <c r="L11" s="11" t="s">
        <v>43</v>
      </c>
      <c r="M11" s="12"/>
      <c r="N11" s="12"/>
      <c r="O11" s="12"/>
      <c r="P11" s="13" t="str">
        <f t="shared" ca="1" si="1"/>
        <v/>
      </c>
      <c r="Q11" s="13" t="str">
        <f t="shared" ca="1" si="2"/>
        <v/>
      </c>
      <c r="R11" s="8" t="str">
        <f>IF($C11="","",IF($O11="","Belum ada kontak",IF($P11&gt;Referensi!$P$8,"Segera follow up",IF($P11&gt;Referensi!$P$9,"Perlu dipantau","Terkini"))))</f>
        <v>Belum ada kontak</v>
      </c>
      <c r="S11" s="13">
        <f ca="1">IF($C11="","",IF(OR($L11="Selesai",$L11="Batal"),0,IF($Q11="",5,IF($Q11&lt;0,50,IF($Q11&lt;=Referensi!$P$5,40,IF($Q11&lt;=Referensi!$P$6,30,IF($Q11&lt;=Referensi!$P$7,20,10)))))+IF($O11="",25,IF($P11&gt;Referensi!$P$8,30,IF($P11&gt;Referensi!$P$9,20,5)))+IF($U11="",5,IF($U11&gt;=Referensi!$P$10,20,IF($U11&gt;=Referensi!$P$11,10,5)))+IF($L11="Tertunda",15,IF(OR($L11="Negosiasi",$L11="Penawaran"),12,IF($L11="Berjalan",8,IF($L11="Prospek",5,0))))))</f>
        <v>52</v>
      </c>
      <c r="T11" s="8" t="str">
        <f ca="1">IF($C11="","",IF(OR($L11="Selesai",$L11="Batal"),"Tidak aktif",IF($S11&gt;=Referensi!$P$12,"KRITIS",IF($S11&gt;=Referensi!$P$13,"Tinggi",IF($S11&gt;=Referensi!$P$14,"Sedang","Rendah")))))</f>
        <v>Sedang</v>
      </c>
      <c r="U11" s="14">
        <v>373735000</v>
      </c>
      <c r="V11" s="15" t="s">
        <v>123</v>
      </c>
      <c r="W11" s="16">
        <f t="shared" ca="1" si="3"/>
        <v>52.000109999999999</v>
      </c>
    </row>
    <row r="12" spans="1:23" ht="31.5" customHeight="1">
      <c r="A12" s="8">
        <f t="shared" si="0"/>
        <v>8</v>
      </c>
      <c r="B12" s="9" t="str">
        <f t="array" ref="B12">IF(OR($C12="",$I12="",$J12=""),"","JSI-"&amp;IFERROR(INDEX(Referensi!$B$5:$B$14,MATCH($I12,Referensi!$A$5:$A$14,0)),"???")&amp;"-"&amp;IFERROR(INDEX(Referensi!$E$5:$E$14,MATCH($J12,Referensi!$D$5:$D$14,0)),"???")&amp;"-"&amp;TEXT(COUNTIFS($I$5:$I12,$I12,$J$5:$J12,$J12),"000"))</f>
        <v>JSI-ENT-JAS-006</v>
      </c>
      <c r="C12" s="10" t="s">
        <v>129</v>
      </c>
      <c r="D12" s="10" t="s">
        <v>130</v>
      </c>
      <c r="E12" s="10" t="s">
        <v>131</v>
      </c>
      <c r="F12" s="42" t="s">
        <v>218</v>
      </c>
      <c r="G12" s="10" t="s">
        <v>132</v>
      </c>
      <c r="H12" s="10" t="s">
        <v>133</v>
      </c>
      <c r="I12" s="10" t="s">
        <v>17</v>
      </c>
      <c r="J12" s="11" t="s">
        <v>20</v>
      </c>
      <c r="K12" s="10" t="s">
        <v>22</v>
      </c>
      <c r="L12" s="11" t="s">
        <v>43</v>
      </c>
      <c r="M12" s="12"/>
      <c r="N12" s="12"/>
      <c r="O12" s="12"/>
      <c r="P12" s="13" t="str">
        <f t="shared" ca="1" si="1"/>
        <v/>
      </c>
      <c r="Q12" s="13" t="str">
        <f t="shared" ca="1" si="2"/>
        <v/>
      </c>
      <c r="R12" s="8" t="str">
        <f>IF($C12="","",IF($O12="","Belum ada kontak",IF($P12&gt;Referensi!$P$8,"Segera follow up",IF($P12&gt;Referensi!$P$9,"Perlu dipantau","Terkini"))))</f>
        <v>Belum ada kontak</v>
      </c>
      <c r="S12" s="13">
        <f ca="1">IF($C12="","",IF(OR($L12="Selesai",$L12="Batal"),0,IF($Q12="",5,IF($Q12&lt;0,50,IF($Q12&lt;=Referensi!$P$5,40,IF($Q12&lt;=Referensi!$P$6,30,IF($Q12&lt;=Referensi!$P$7,20,10)))))+IF($O12="",25,IF($P12&gt;Referensi!$P$8,30,IF($P12&gt;Referensi!$P$9,20,5)))+IF($U12="",5,IF($U12&gt;=Referensi!$P$10,20,IF($U12&gt;=Referensi!$P$11,10,5)))+IF($L12="Tertunda",15,IF(OR($L12="Negosiasi",$L12="Penawaran"),12,IF($L12="Berjalan",8,IF($L12="Prospek",5,0))))))</f>
        <v>52</v>
      </c>
      <c r="T12" s="8" t="str">
        <f ca="1">IF($C12="","",IF(OR($L12="Selesai",$L12="Batal"),"Tidak aktif",IF($S12&gt;=Referensi!$P$12,"KRITIS",IF($S12&gt;=Referensi!$P$13,"Tinggi",IF($S12&gt;=Referensi!$P$14,"Sedang","Rendah")))))</f>
        <v>Sedang</v>
      </c>
      <c r="U12" s="14">
        <v>327616500</v>
      </c>
      <c r="V12" s="15" t="s">
        <v>123</v>
      </c>
      <c r="W12" s="16">
        <f t="shared" ca="1" si="3"/>
        <v>52.000120000000003</v>
      </c>
    </row>
    <row r="13" spans="1:23" ht="31.5" customHeight="1">
      <c r="A13" s="8">
        <f t="shared" si="0"/>
        <v>9</v>
      </c>
      <c r="B13" s="9" t="str">
        <f t="array" ref="B13">IF(OR($C13="",$I13="",$J13=""),"","JSI-"&amp;IFERROR(INDEX(Referensi!$B$5:$B$14,MATCH($I13,Referensi!$A$5:$A$14,0)),"???")&amp;"-"&amp;IFERROR(INDEX(Referensi!$E$5:$E$14,MATCH($J13,Referensi!$D$5:$D$14,0)),"???")&amp;"-"&amp;TEXT(COUNTIFS($I$5:$I13,$I13,$J$5:$J13,$J13),"000"))</f>
        <v>JSI-ENT-JAS-007</v>
      </c>
      <c r="C13" s="10" t="s">
        <v>136</v>
      </c>
      <c r="D13" s="10" t="s">
        <v>137</v>
      </c>
      <c r="E13" s="10" t="s">
        <v>138</v>
      </c>
      <c r="F13" s="42" t="s">
        <v>218</v>
      </c>
      <c r="G13" s="10" t="s">
        <v>139</v>
      </c>
      <c r="H13" s="10" t="s">
        <v>140</v>
      </c>
      <c r="I13" s="10" t="s">
        <v>17</v>
      </c>
      <c r="J13" s="11" t="s">
        <v>20</v>
      </c>
      <c r="K13" s="10" t="s">
        <v>54</v>
      </c>
      <c r="L13" s="11" t="s">
        <v>43</v>
      </c>
      <c r="M13" s="12"/>
      <c r="N13" s="12"/>
      <c r="O13" s="12"/>
      <c r="P13" s="13" t="str">
        <f t="shared" ca="1" si="1"/>
        <v/>
      </c>
      <c r="Q13" s="13" t="str">
        <f t="shared" ca="1" si="2"/>
        <v/>
      </c>
      <c r="R13" s="8" t="str">
        <f>IF($C13="","",IF($O13="","Belum ada kontak",IF($P13&gt;Referensi!$P$8,"Segera follow up",IF($P13&gt;Referensi!$P$9,"Perlu dipantau","Terkini"))))</f>
        <v>Belum ada kontak</v>
      </c>
      <c r="S13" s="13">
        <f ca="1">IF($C13="","",IF(OR($L13="Selesai",$L13="Batal"),0,IF($Q13="",5,IF($Q13&lt;0,50,IF($Q13&lt;=Referensi!$P$5,40,IF($Q13&lt;=Referensi!$P$6,30,IF($Q13&lt;=Referensi!$P$7,20,10)))))+IF($O13="",25,IF($P13&gt;Referensi!$P$8,30,IF($P13&gt;Referensi!$P$9,20,5)))+IF($U13="",5,IF($U13&gt;=Referensi!$P$10,20,IF($U13&gt;=Referensi!$P$11,10,5)))+IF($L13="Tertunda",15,IF(OR($L13="Negosiasi",$L13="Penawaran"),12,IF($L13="Berjalan",8,IF($L13="Prospek",5,0))))))</f>
        <v>62</v>
      </c>
      <c r="T13" s="8" t="str">
        <f ca="1">IF($C13="","",IF(OR($L13="Selesai",$L13="Batal"),"Tidak aktif",IF($S13&gt;=Referensi!$P$12,"KRITIS",IF($S13&gt;=Referensi!$P$13,"Tinggi",IF($S13&gt;=Referensi!$P$14,"Sedang","Rendah")))))</f>
        <v>Tinggi</v>
      </c>
      <c r="U13" s="14">
        <v>973969500</v>
      </c>
      <c r="V13" s="15" t="s">
        <v>123</v>
      </c>
      <c r="W13" s="16">
        <f t="shared" ca="1" si="3"/>
        <v>62.000129999999999</v>
      </c>
    </row>
    <row r="14" spans="1:23" ht="31.5" customHeight="1">
      <c r="A14" s="8">
        <f t="shared" si="0"/>
        <v>10</v>
      </c>
      <c r="B14" s="9" t="str">
        <f t="array" ref="B14">IF(OR($C14="",$I14="",$J14=""),"","JSI-"&amp;IFERROR(INDEX(Referensi!$B$5:$B$14,MATCH($I14,Referensi!$A$5:$A$14,0)),"???")&amp;"-"&amp;IFERROR(INDEX(Referensi!$E$5:$E$14,MATCH($J14,Referensi!$D$5:$D$14,0)),"???")&amp;"-"&amp;TEXT(COUNTIFS($I$5:$I14,$I14,$J$5:$J14,$J14),"000"))</f>
        <v>JSI-ENT-JAS-008</v>
      </c>
      <c r="C14" s="10" t="s">
        <v>141</v>
      </c>
      <c r="D14" s="10" t="s">
        <v>142</v>
      </c>
      <c r="E14" s="10" t="s">
        <v>217</v>
      </c>
      <c r="F14" s="42" t="s">
        <v>218</v>
      </c>
      <c r="G14" s="10" t="s">
        <v>143</v>
      </c>
      <c r="H14" s="10" t="s">
        <v>104</v>
      </c>
      <c r="I14" s="10" t="s">
        <v>17</v>
      </c>
      <c r="J14" s="11" t="s">
        <v>20</v>
      </c>
      <c r="K14" s="10" t="s">
        <v>54</v>
      </c>
      <c r="L14" s="11" t="s">
        <v>55</v>
      </c>
      <c r="M14" s="12"/>
      <c r="N14" s="12"/>
      <c r="O14" s="12"/>
      <c r="P14" s="13" t="str">
        <f t="shared" ca="1" si="1"/>
        <v/>
      </c>
      <c r="Q14" s="13" t="str">
        <f t="shared" ca="1" si="2"/>
        <v/>
      </c>
      <c r="R14" s="8" t="str">
        <f>IF($C14="","",IF($O14="","Belum ada kontak",IF($P14&gt;Referensi!$P$8,"Segera follow up",IF($P14&gt;Referensi!$P$9,"Perlu dipantau","Terkini"))))</f>
        <v>Belum ada kontak</v>
      </c>
      <c r="S14" s="13">
        <f ca="1">IF($C14="","",IF(OR($L14="Selesai",$L14="Batal"),0,IF($Q14="",5,IF($Q14&lt;0,50,IF($Q14&lt;=Referensi!$P$5,40,IF($Q14&lt;=Referensi!$P$6,30,IF($Q14&lt;=Referensi!$P$7,20,10)))))+IF($O14="",25,IF($P14&gt;Referensi!$P$8,30,IF($P14&gt;Referensi!$P$9,20,5)))+IF($U14="",5,IF($U14&gt;=Referensi!$P$10,20,IF($U14&gt;=Referensi!$P$11,10,5)))+IF($L14="Tertunda",15,IF(OR($L14="Negosiasi",$L14="Penawaran"),12,IF($L14="Berjalan",8,IF($L14="Prospek",5,0))))))</f>
        <v>62</v>
      </c>
      <c r="T14" s="8" t="str">
        <f ca="1">IF($C14="","",IF(OR($L14="Selesai",$L14="Batal"),"Tidak aktif",IF($S14&gt;=Referensi!$P$12,"KRITIS",IF($S14&gt;=Referensi!$P$13,"Tinggi",IF($S14&gt;=Referensi!$P$14,"Sedang","Rendah")))))</f>
        <v>Tinggi</v>
      </c>
      <c r="U14" s="14">
        <v>1131700500</v>
      </c>
      <c r="V14" s="15" t="s">
        <v>141</v>
      </c>
      <c r="W14" s="16">
        <f t="shared" ca="1" si="3"/>
        <v>62.000140000000002</v>
      </c>
    </row>
    <row r="15" spans="1:23" ht="31.5" customHeight="1">
      <c r="A15" s="8">
        <f t="shared" si="0"/>
        <v>11</v>
      </c>
      <c r="B15" s="9" t="str">
        <f t="array" ref="B15">IF(OR($C15="",$I15="",$J15=""),"","JSI-"&amp;IFERROR(INDEX(Referensi!$B$5:$B$14,MATCH($I15,Referensi!$A$5:$A$14,0)),"???")&amp;"-"&amp;IFERROR(INDEX(Referensi!$E$5:$E$14,MATCH($J15,Referensi!$D$5:$D$14,0)),"???")&amp;"-"&amp;TEXT(COUNTIFS($I$5:$I15,$I15,$J$5:$J15,$J15),"000"))</f>
        <v>JSI-ENT-JAS-009</v>
      </c>
      <c r="C15" s="10" t="s">
        <v>147</v>
      </c>
      <c r="D15" s="10" t="s">
        <v>148</v>
      </c>
      <c r="E15" s="29"/>
      <c r="F15" s="42" t="s">
        <v>149</v>
      </c>
      <c r="G15" s="10" t="s">
        <v>150</v>
      </c>
      <c r="H15" s="10" t="s">
        <v>82</v>
      </c>
      <c r="I15" s="10" t="s">
        <v>17</v>
      </c>
      <c r="J15" s="11" t="s">
        <v>20</v>
      </c>
      <c r="K15" s="10" t="s">
        <v>54</v>
      </c>
      <c r="L15" s="11" t="s">
        <v>43</v>
      </c>
      <c r="M15" s="12"/>
      <c r="N15" s="12"/>
      <c r="O15" s="12"/>
      <c r="P15" s="13" t="str">
        <f t="shared" ca="1" si="1"/>
        <v/>
      </c>
      <c r="Q15" s="13" t="str">
        <f t="shared" ca="1" si="2"/>
        <v/>
      </c>
      <c r="R15" s="8" t="str">
        <f>IF($C15="","",IF($O15="","Belum ada kontak",IF($P15&gt;Referensi!$P$8,"Segera follow up",IF($P15&gt;Referensi!$P$9,"Perlu dipantau","Terkini"))))</f>
        <v>Belum ada kontak</v>
      </c>
      <c r="S15" s="13">
        <f ca="1">IF($C15="","",IF(OR($L15="Selesai",$L15="Batal"),0,IF($Q15="",5,IF($Q15&lt;0,50,IF($Q15&lt;=Referensi!$P$5,40,IF($Q15&lt;=Referensi!$P$6,30,IF($Q15&lt;=Referensi!$P$7,20,10)))))+IF($O15="",25,IF($P15&gt;Referensi!$P$8,30,IF($P15&gt;Referensi!$P$9,20,5)))+IF($U15="",5,IF($U15&gt;=Referensi!$P$10,20,IF($U15&gt;=Referensi!$P$11,10,5)))+IF($L15="Tertunda",15,IF(OR($L15="Negosiasi",$L15="Penawaran"),12,IF($L15="Berjalan",8,IF($L15="Prospek",5,0))))))</f>
        <v>52</v>
      </c>
      <c r="T15" s="8" t="str">
        <f ca="1">IF($C15="","",IF(OR($L15="Selesai",$L15="Batal"),"Tidak aktif",IF($S15&gt;=Referensi!$P$12,"KRITIS",IF($S15&gt;=Referensi!$P$13,"Tinggi",IF($S15&gt;=Referensi!$P$14,"Sedang","Rendah")))))</f>
        <v>Sedang</v>
      </c>
      <c r="U15" s="14">
        <v>140000000</v>
      </c>
      <c r="V15" s="15" t="s">
        <v>152</v>
      </c>
      <c r="W15" s="16">
        <f t="shared" ca="1" si="3"/>
        <v>52.000149999999998</v>
      </c>
    </row>
    <row r="16" spans="1:23" ht="31.5" customHeight="1">
      <c r="A16" s="8">
        <f t="shared" si="0"/>
        <v>12</v>
      </c>
      <c r="B16" s="9" t="str">
        <f t="array" ref="B16">IF(OR($C16="",$I16="",$J16=""),"","JSI-"&amp;IFERROR(INDEX(Referensi!$B$5:$B$14,MATCH($I16,Referensi!$A$5:$A$14,0)),"???")&amp;"-"&amp;IFERROR(INDEX(Referensi!$E$5:$E$14,MATCH($J16,Referensi!$D$5:$D$14,0)),"???")&amp;"-"&amp;TEXT(COUNTIFS($I$5:$I16,$I16,$J$5:$J16,$J16),"000"))</f>
        <v>JSI-ENT-JAS-010</v>
      </c>
      <c r="C16" s="10" t="s">
        <v>153</v>
      </c>
      <c r="D16" s="10" t="s">
        <v>154</v>
      </c>
      <c r="E16" s="10"/>
      <c r="F16" s="42" t="s">
        <v>218</v>
      </c>
      <c r="G16" s="10" t="s">
        <v>155</v>
      </c>
      <c r="H16" s="10" t="s">
        <v>156</v>
      </c>
      <c r="I16" s="10" t="s">
        <v>17</v>
      </c>
      <c r="J16" s="11" t="s">
        <v>20</v>
      </c>
      <c r="K16" s="10" t="s">
        <v>41</v>
      </c>
      <c r="L16" s="11" t="s">
        <v>55</v>
      </c>
      <c r="M16" s="12"/>
      <c r="N16" s="12"/>
      <c r="O16" s="12"/>
      <c r="P16" s="13" t="str">
        <f t="shared" ca="1" si="1"/>
        <v/>
      </c>
      <c r="Q16" s="13" t="str">
        <f t="shared" ca="1" si="2"/>
        <v/>
      </c>
      <c r="R16" s="8" t="str">
        <f>IF($C16="","",IF($O16="","Belum ada kontak",IF($P16&gt;Referensi!$P$8,"Segera follow up",IF($P16&gt;Referensi!$P$9,"Perlu dipantau","Terkini"))))</f>
        <v>Belum ada kontak</v>
      </c>
      <c r="S16" s="13">
        <f ca="1">IF($C16="","",IF(OR($L16="Selesai",$L16="Batal"),0,IF($Q16="",5,IF($Q16&lt;0,50,IF($Q16&lt;=Referensi!$P$5,40,IF($Q16&lt;=Referensi!$P$6,30,IF($Q16&lt;=Referensi!$P$7,20,10)))))+IF($O16="",25,IF($P16&gt;Referensi!$P$8,30,IF($P16&gt;Referensi!$P$9,20,5)))+IF($U16="",5,IF($U16&gt;=Referensi!$P$10,20,IF($U16&gt;=Referensi!$P$11,10,5)))+IF($L16="Tertunda",15,IF(OR($L16="Negosiasi",$L16="Penawaran"),12,IF($L16="Berjalan",8,IF($L16="Prospek",5,0))))))</f>
        <v>47</v>
      </c>
      <c r="T16" s="8" t="str">
        <f ca="1">IF($C16="","",IF(OR($L16="Selesai",$L16="Batal"),"Tidak aktif",IF($S16&gt;=Referensi!$P$12,"KRITIS",IF($S16&gt;=Referensi!$P$13,"Tinggi",IF($S16&gt;=Referensi!$P$14,"Sedang","Rendah")))))</f>
        <v>Sedang</v>
      </c>
      <c r="U16" s="14">
        <v>50000000</v>
      </c>
      <c r="V16" s="15" t="s">
        <v>153</v>
      </c>
      <c r="W16" s="16">
        <f t="shared" ca="1" si="3"/>
        <v>47.000160000000001</v>
      </c>
    </row>
    <row r="17" spans="1:23" ht="31.5" customHeight="1">
      <c r="A17" s="8">
        <f t="shared" si="0"/>
        <v>13</v>
      </c>
      <c r="B17" s="9" t="str">
        <f t="array" ref="B17">IF(OR($C17="",$I17="",$J17=""),"","JSI-"&amp;IFERROR(INDEX(Referensi!$B$5:$B$14,MATCH($I17,Referensi!$A$5:$A$14,0)),"???")&amp;"-"&amp;IFERROR(INDEX(Referensi!$E$5:$E$14,MATCH($J17,Referensi!$D$5:$D$14,0)),"???")&amp;"-"&amp;TEXT(COUNTIFS($I$5:$I17,$I17,$J$5:$J17,$J17),"000"))</f>
        <v>JSI-ENT-JAS-011</v>
      </c>
      <c r="C17" s="10" t="s">
        <v>157</v>
      </c>
      <c r="D17" s="10" t="s">
        <v>158</v>
      </c>
      <c r="E17" s="10" t="s">
        <v>138</v>
      </c>
      <c r="F17" s="10"/>
      <c r="G17" s="10" t="s">
        <v>159</v>
      </c>
      <c r="H17" s="10" t="s">
        <v>82</v>
      </c>
      <c r="I17" s="10" t="s">
        <v>17</v>
      </c>
      <c r="J17" s="11" t="s">
        <v>20</v>
      </c>
      <c r="K17" s="10" t="s">
        <v>22</v>
      </c>
      <c r="L17" s="11" t="s">
        <v>55</v>
      </c>
      <c r="M17" s="12"/>
      <c r="N17" s="12"/>
      <c r="O17" s="12"/>
      <c r="P17" s="13" t="str">
        <f t="shared" ca="1" si="1"/>
        <v/>
      </c>
      <c r="Q17" s="13" t="str">
        <f t="shared" ca="1" si="2"/>
        <v/>
      </c>
      <c r="R17" s="8" t="str">
        <f>IF($C17="","",IF($O17="","Belum ada kontak",IF($P17&gt;Referensi!$P$8,"Segera follow up",IF($P17&gt;Referensi!$P$9,"Perlu dipantau","Terkini"))))</f>
        <v>Belum ada kontak</v>
      </c>
      <c r="S17" s="13">
        <f ca="1">IF($C17="","",IF(OR($L17="Selesai",$L17="Batal"),0,IF($Q17="",5,IF($Q17&lt;0,50,IF($Q17&lt;=Referensi!$P$5,40,IF($Q17&lt;=Referensi!$P$6,30,IF($Q17&lt;=Referensi!$P$7,20,10)))))+IF($O17="",25,IF($P17&gt;Referensi!$P$8,30,IF($P17&gt;Referensi!$P$9,20,5)))+IF($U17="",5,IF($U17&gt;=Referensi!$P$10,20,IF($U17&gt;=Referensi!$P$11,10,5)))+IF($L17="Tertunda",15,IF(OR($L17="Negosiasi",$L17="Penawaran"),12,IF($L17="Berjalan",8,IF($L17="Prospek",5,0))))))</f>
        <v>52</v>
      </c>
      <c r="T17" s="8" t="str">
        <f ca="1">IF($C17="","",IF(OR($L17="Selesai",$L17="Batal"),"Tidak aktif",IF($S17&gt;=Referensi!$P$12,"KRITIS",IF($S17&gt;=Referensi!$P$13,"Tinggi",IF($S17&gt;=Referensi!$P$14,"Sedang","Rendah")))))</f>
        <v>Sedang</v>
      </c>
      <c r="U17" s="14">
        <v>420523400</v>
      </c>
      <c r="V17" s="15" t="s">
        <v>123</v>
      </c>
      <c r="W17" s="16">
        <f t="shared" ca="1" si="3"/>
        <v>52.000169999999997</v>
      </c>
    </row>
    <row r="18" spans="1:23" ht="31.5" customHeight="1">
      <c r="A18" s="8">
        <f t="shared" si="0"/>
        <v>14</v>
      </c>
      <c r="B18" s="9" t="str">
        <f t="array" ref="B18">IF(OR($C18="",$I18="",$J18=""),"","JSI-"&amp;IFERROR(INDEX(Referensi!$B$5:$B$14,MATCH($I18,Referensi!$A$5:$A$14,0)),"???")&amp;"-"&amp;IFERROR(INDEX(Referensi!$E$5:$E$14,MATCH($J18,Referensi!$D$5:$D$14,0)),"???")&amp;"-"&amp;TEXT(COUNTIFS($I$5:$I18,$I18,$J$5:$J18,$J18),"000"))</f>
        <v>JSI-ENT-JAS-012</v>
      </c>
      <c r="C18" s="10" t="s">
        <v>167</v>
      </c>
      <c r="D18" s="10" t="s">
        <v>168</v>
      </c>
      <c r="E18" s="10" t="s">
        <v>169</v>
      </c>
      <c r="F18" s="10"/>
      <c r="G18" s="10" t="s">
        <v>170</v>
      </c>
      <c r="H18" s="10" t="s">
        <v>104</v>
      </c>
      <c r="I18" s="10" t="s">
        <v>17</v>
      </c>
      <c r="J18" s="11" t="s">
        <v>20</v>
      </c>
      <c r="K18" s="10" t="s">
        <v>54</v>
      </c>
      <c r="L18" s="11" t="s">
        <v>43</v>
      </c>
      <c r="M18" s="12"/>
      <c r="N18" s="12"/>
      <c r="O18" s="12"/>
      <c r="P18" s="13" t="str">
        <f t="shared" ca="1" si="1"/>
        <v/>
      </c>
      <c r="Q18" s="13" t="str">
        <f t="shared" ca="1" si="2"/>
        <v/>
      </c>
      <c r="R18" s="8" t="str">
        <f>IF($C18="","",IF($O18="","Belum ada kontak",IF($P18&gt;Referensi!$P$8,"Segera follow up",IF($P18&gt;Referensi!$P$9,"Perlu dipantau","Terkini"))))</f>
        <v>Belum ada kontak</v>
      </c>
      <c r="S18" s="13">
        <f ca="1">IF($C18="","",IF(OR($L18="Selesai",$L18="Batal"),0,IF($Q18="",5,IF($Q18&lt;0,50,IF($Q18&lt;=Referensi!$P$5,40,IF($Q18&lt;=Referensi!$P$6,30,IF($Q18&lt;=Referensi!$P$7,20,10)))))+IF($O18="",25,IF($P18&gt;Referensi!$P$8,30,IF($P18&gt;Referensi!$P$9,20,5)))+IF($U18="",5,IF($U18&gt;=Referensi!$P$10,20,IF($U18&gt;=Referensi!$P$11,10,5)))+IF($L18="Tertunda",15,IF(OR($L18="Negosiasi",$L18="Penawaran"),12,IF($L18="Berjalan",8,IF($L18="Prospek",5,0))))))</f>
        <v>52</v>
      </c>
      <c r="T18" s="8" t="str">
        <f ca="1">IF($C18="","",IF(OR($L18="Selesai",$L18="Batal"),"Tidak aktif",IF($S18&gt;=Referensi!$P$12,"KRITIS",IF($S18&gt;=Referensi!$P$13,"Tinggi",IF($S18&gt;=Referensi!$P$14,"Sedang","Rendah")))))</f>
        <v>Sedang</v>
      </c>
      <c r="U18" s="14">
        <v>111888000</v>
      </c>
      <c r="V18" s="15" t="s">
        <v>123</v>
      </c>
      <c r="W18" s="16">
        <f t="shared" ca="1" si="3"/>
        <v>52.00018</v>
      </c>
    </row>
    <row r="19" spans="1:23" ht="31.5" customHeight="1">
      <c r="A19" s="8">
        <f t="shared" si="0"/>
        <v>15</v>
      </c>
      <c r="B19" s="9" t="str">
        <f t="array" ref="B19">IF(OR($C19="",$I19="",$J19=""),"","JSI-"&amp;IFERROR(INDEX(Referensi!$B$5:$B$14,MATCH($I19,Referensi!$A$5:$A$14,0)),"???")&amp;"-"&amp;IFERROR(INDEX(Referensi!$E$5:$E$14,MATCH($J19,Referensi!$D$5:$D$14,0)),"???")&amp;"-"&amp;TEXT(COUNTIFS($I$5:$I19,$I19,$J$5:$J19,$J19),"000"))</f>
        <v>JSI-ENT-JAS-013</v>
      </c>
      <c r="C19" s="10" t="s">
        <v>172</v>
      </c>
      <c r="D19" s="10" t="s">
        <v>173</v>
      </c>
      <c r="E19" s="10" t="s">
        <v>174</v>
      </c>
      <c r="F19" s="10"/>
      <c r="G19" s="10" t="s">
        <v>175</v>
      </c>
      <c r="H19" s="10" t="s">
        <v>176</v>
      </c>
      <c r="I19" s="10" t="s">
        <v>17</v>
      </c>
      <c r="J19" s="11" t="s">
        <v>20</v>
      </c>
      <c r="K19" s="10" t="s">
        <v>22</v>
      </c>
      <c r="L19" s="11" t="s">
        <v>43</v>
      </c>
      <c r="M19" s="12"/>
      <c r="N19" s="12"/>
      <c r="O19" s="12"/>
      <c r="P19" s="13" t="str">
        <f t="shared" ca="1" si="1"/>
        <v/>
      </c>
      <c r="Q19" s="13" t="str">
        <f t="shared" ca="1" si="2"/>
        <v/>
      </c>
      <c r="R19" s="8" t="str">
        <f>IF($C19="","",IF($O19="","Belum ada kontak",IF($P19&gt;Referensi!$P$8,"Segera follow up",IF($P19&gt;Referensi!$P$9,"Perlu dipantau","Terkini"))))</f>
        <v>Belum ada kontak</v>
      </c>
      <c r="S19" s="13">
        <f ca="1">IF($C19="","",IF(OR($L19="Selesai",$L19="Batal"),0,IF($Q19="",5,IF($Q19&lt;0,50,IF($Q19&lt;=Referensi!$P$5,40,IF($Q19&lt;=Referensi!$P$6,30,IF($Q19&lt;=Referensi!$P$7,20,10)))))+IF($O19="",25,IF($P19&gt;Referensi!$P$8,30,IF($P19&gt;Referensi!$P$9,20,5)))+IF($U19="",5,IF($U19&gt;=Referensi!$P$10,20,IF($U19&gt;=Referensi!$P$11,10,5)))+IF($L19="Tertunda",15,IF(OR($L19="Negosiasi",$L19="Penawaran"),12,IF($L19="Berjalan",8,IF($L19="Prospek",5,0))))))</f>
        <v>52</v>
      </c>
      <c r="T19" s="8" t="str">
        <f ca="1">IF($C19="","",IF(OR($L19="Selesai",$L19="Batal"),"Tidak aktif",IF($S19&gt;=Referensi!$P$12,"KRITIS",IF($S19&gt;=Referensi!$P$13,"Tinggi",IF($S19&gt;=Referensi!$P$14,"Sedang","Rendah")))))</f>
        <v>Sedang</v>
      </c>
      <c r="U19" s="14">
        <v>165000000</v>
      </c>
      <c r="V19" s="15" t="s">
        <v>123</v>
      </c>
      <c r="W19" s="16">
        <f t="shared" ca="1" si="3"/>
        <v>52.000190000000003</v>
      </c>
    </row>
    <row r="20" spans="1:23" ht="31.5" customHeight="1">
      <c r="A20" s="8">
        <f t="shared" si="0"/>
        <v>16</v>
      </c>
      <c r="B20" s="9" t="str">
        <f t="array" ref="B20">IF(OR($C20="",$I20="",$J20=""),"","JSI-"&amp;IFERROR(INDEX(Referensi!$B$5:$B$14,MATCH($I20,Referensi!$A$5:$A$14,0)),"???")&amp;"-"&amp;IFERROR(INDEX(Referensi!$E$5:$E$14,MATCH($J20,Referensi!$D$5:$D$14,0)),"???")&amp;"-"&amp;TEXT(COUNTIFS($I$5:$I20,$I20,$J$5:$J20,$J20),"000"))</f>
        <v>JSI-ENT-PNJ-001</v>
      </c>
      <c r="C20" s="10" t="s">
        <v>177</v>
      </c>
      <c r="D20" s="10" t="s">
        <v>178</v>
      </c>
      <c r="E20" s="10" t="s">
        <v>179</v>
      </c>
      <c r="F20" s="10"/>
      <c r="G20" s="10" t="s">
        <v>180</v>
      </c>
      <c r="H20" s="10" t="s">
        <v>140</v>
      </c>
      <c r="I20" s="10" t="s">
        <v>17</v>
      </c>
      <c r="J20" s="11" t="s">
        <v>38</v>
      </c>
      <c r="K20" s="10" t="s">
        <v>54</v>
      </c>
      <c r="L20" s="11" t="s">
        <v>55</v>
      </c>
      <c r="M20" s="12"/>
      <c r="N20" s="12"/>
      <c r="O20" s="12"/>
      <c r="P20" s="13" t="str">
        <f t="shared" ca="1" si="1"/>
        <v/>
      </c>
      <c r="Q20" s="13" t="str">
        <f t="shared" ca="1" si="2"/>
        <v/>
      </c>
      <c r="R20" s="8" t="str">
        <f>IF($C20="","",IF($O20="","Belum ada kontak",IF($P20&gt;Referensi!$P$8,"Segera follow up",IF($P20&gt;Referensi!$P$9,"Perlu dipantau","Terkini"))))</f>
        <v>Belum ada kontak</v>
      </c>
      <c r="S20" s="13">
        <f ca="1">IF($C20="","",IF(OR($L20="Selesai",$L20="Batal"),0,IF($Q20="",5,IF($Q20&lt;0,50,IF($Q20&lt;=Referensi!$P$5,40,IF($Q20&lt;=Referensi!$P$6,30,IF($Q20&lt;=Referensi!$P$7,20,10)))))+IF($O20="",25,IF($P20&gt;Referensi!$P$8,30,IF($P20&gt;Referensi!$P$9,20,5)))+IF($U20="",5,IF($U20&gt;=Referensi!$P$10,20,IF($U20&gt;=Referensi!$P$11,10,5)))+IF($L20="Tertunda",15,IF(OR($L20="Negosiasi",$L20="Penawaran"),12,IF($L20="Berjalan",8,IF($L20="Prospek",5,0))))))</f>
        <v>62</v>
      </c>
      <c r="T20" s="8" t="str">
        <f ca="1">IF($C20="","",IF(OR($L20="Selesai",$L20="Batal"),"Tidak aktif",IF($S20&gt;=Referensi!$P$12,"KRITIS",IF($S20&gt;=Referensi!$P$13,"Tinggi",IF($S20&gt;=Referensi!$P$14,"Sedang","Rendah")))))</f>
        <v>Tinggi</v>
      </c>
      <c r="U20" s="14">
        <v>3600000000</v>
      </c>
      <c r="V20" s="15" t="s">
        <v>182</v>
      </c>
      <c r="W20" s="16">
        <f t="shared" ca="1" si="3"/>
        <v>62.0002</v>
      </c>
    </row>
    <row r="21" spans="1:23" ht="31.5" customHeight="1">
      <c r="A21" s="8">
        <f t="shared" si="0"/>
        <v>17</v>
      </c>
      <c r="B21" s="9" t="str">
        <f t="array" ref="B21">IF(OR($C21="",$I21="",$J21=""),"","JSI-"&amp;IFERROR(INDEX(Referensi!$B$5:$B$14,MATCH($I21,Referensi!$A$5:$A$14,0)),"???")&amp;"-"&amp;IFERROR(INDEX(Referensi!$E$5:$E$14,MATCH($J21,Referensi!$D$5:$D$14,0)),"???")&amp;"-"&amp;TEXT(COUNTIFS($I$5:$I21,$I21,$J$5:$J21,$J21),"000"))</f>
        <v>JSI-ENT-PNJ-002</v>
      </c>
      <c r="C21" s="10" t="s">
        <v>183</v>
      </c>
      <c r="D21" s="10" t="s">
        <v>184</v>
      </c>
      <c r="E21" s="10" t="s">
        <v>185</v>
      </c>
      <c r="F21" s="10"/>
      <c r="G21" s="10" t="s">
        <v>186</v>
      </c>
      <c r="H21" s="10" t="s">
        <v>187</v>
      </c>
      <c r="I21" s="10" t="s">
        <v>17</v>
      </c>
      <c r="J21" s="11" t="s">
        <v>38</v>
      </c>
      <c r="K21" s="10" t="s">
        <v>54</v>
      </c>
      <c r="L21" s="11" t="s">
        <v>43</v>
      </c>
      <c r="M21" s="12"/>
      <c r="N21" s="12"/>
      <c r="O21" s="12"/>
      <c r="P21" s="13" t="str">
        <f t="shared" ca="1" si="1"/>
        <v/>
      </c>
      <c r="Q21" s="13" t="str">
        <f t="shared" ca="1" si="2"/>
        <v/>
      </c>
      <c r="R21" s="8" t="str">
        <f>IF($C21="","",IF($O21="","Belum ada kontak",IF($P21&gt;Referensi!$P$8,"Segera follow up",IF($P21&gt;Referensi!$P$9,"Perlu dipantau","Terkini"))))</f>
        <v>Belum ada kontak</v>
      </c>
      <c r="S21" s="13">
        <f ca="1">IF($C21="","",IF(OR($L21="Selesai",$L21="Batal"),0,IF($Q21="",5,IF($Q21&lt;0,50,IF($Q21&lt;=Referensi!$P$5,40,IF($Q21&lt;=Referensi!$P$6,30,IF($Q21&lt;=Referensi!$P$7,20,10)))))+IF($O21="",25,IF($P21&gt;Referensi!$P$8,30,IF($P21&gt;Referensi!$P$9,20,5)))+IF($U21="",5,IF($U21&gt;=Referensi!$P$10,20,IF($U21&gt;=Referensi!$P$11,10,5)))+IF($L21="Tertunda",15,IF(OR($L21="Negosiasi",$L21="Penawaran"),12,IF($L21="Berjalan",8,IF($L21="Prospek",5,0))))))</f>
        <v>62</v>
      </c>
      <c r="T21" s="8" t="str">
        <f ca="1">IF($C21="","",IF(OR($L21="Selesai",$L21="Batal"),"Tidak aktif",IF($S21&gt;=Referensi!$P$12,"KRITIS",IF($S21&gt;=Referensi!$P$13,"Tinggi",IF($S21&gt;=Referensi!$P$14,"Sedang","Rendah")))))</f>
        <v>Tinggi</v>
      </c>
      <c r="U21" s="14">
        <v>585000000</v>
      </c>
      <c r="V21" s="15" t="s">
        <v>191</v>
      </c>
      <c r="W21" s="16">
        <f t="shared" ca="1" si="3"/>
        <v>62.000210000000003</v>
      </c>
    </row>
    <row r="22" spans="1:23" ht="31.5" customHeight="1">
      <c r="A22" s="8" t="str">
        <f t="shared" si="0"/>
        <v/>
      </c>
      <c r="B22" s="9" t="str">
        <f t="array" ref="B22">IF(OR($C22="",$I22="",$J22=""),"","JSI-"&amp;IFERROR(INDEX(Referensi!$B$5:$B$14,MATCH($I22,Referensi!$A$5:$A$14,0)),"???")&amp;"-"&amp;IFERROR(INDEX(Referensi!$E$5:$E$14,MATCH($J22,Referensi!$D$5:$D$14,0)),"???")&amp;"-"&amp;TEXT(COUNTIFS($I$5:$I22,$I22,$J$5:$J22,$J22),"000"))</f>
        <v/>
      </c>
      <c r="C22" s="10"/>
      <c r="D22" s="10"/>
      <c r="E22" s="10"/>
      <c r="F22" s="10"/>
      <c r="G22" s="10"/>
      <c r="H22" s="10"/>
      <c r="I22" s="10"/>
      <c r="J22" s="11"/>
      <c r="K22" s="10"/>
      <c r="L22" s="11"/>
      <c r="M22" s="12"/>
      <c r="N22" s="12"/>
      <c r="O22" s="12"/>
      <c r="P22" s="13" t="str">
        <f t="shared" ca="1" si="1"/>
        <v/>
      </c>
      <c r="Q22" s="13" t="str">
        <f t="shared" ca="1" si="2"/>
        <v/>
      </c>
      <c r="R22" s="8" t="str">
        <f>IF($C22="","",IF($O22="","Belum ada kontak",IF($P22&gt;Referensi!$P$8,"Segera follow up",IF($P22&gt;Referensi!$P$9,"Perlu dipantau","Terkini"))))</f>
        <v/>
      </c>
      <c r="S22" s="13" t="str">
        <f>IF($C22="","",IF(OR($L22="Selesai",$L22="Batal"),0,IF($Q22="",5,IF($Q22&lt;0,50,IF($Q22&lt;=Referensi!$P$5,40,IF($Q22&lt;=Referensi!$P$6,30,IF($Q22&lt;=Referensi!$P$7,20,10)))))+IF($O22="",25,IF($P22&gt;Referensi!$P$8,30,IF($P22&gt;Referensi!$P$9,20,5)))+IF($U22="",5,IF($U22&gt;=Referensi!$P$10,20,IF($U22&gt;=Referensi!$P$11,10,5)))+IF($L22="Tertunda",15,IF(OR($L22="Negosiasi",$L22="Penawaran"),12,IF($L22="Berjalan",8,IF($L22="Prospek",5,0))))))</f>
        <v/>
      </c>
      <c r="T22" s="8" t="str">
        <f>IF($C22="","",IF(OR($L22="Selesai",$L22="Batal"),"Tidak aktif",IF($S22&gt;=Referensi!$P$12,"KRITIS",IF($S22&gt;=Referensi!$P$13,"Tinggi",IF($S22&gt;=Referensi!$P$14,"Sedang","Rendah")))))</f>
        <v/>
      </c>
      <c r="U22" s="14"/>
      <c r="V22" s="15"/>
      <c r="W22" s="9" t="str">
        <f t="shared" si="3"/>
        <v/>
      </c>
    </row>
    <row r="23" spans="1:23" ht="31.5" customHeight="1">
      <c r="A23" s="8" t="str">
        <f t="shared" si="0"/>
        <v/>
      </c>
      <c r="B23" s="9" t="str">
        <f t="array" ref="B23">IF(OR($C23="",$I23="",$J23=""),"","JSI-"&amp;IFERROR(INDEX(Referensi!$B$5:$B$14,MATCH($I23,Referensi!$A$5:$A$14,0)),"???")&amp;"-"&amp;IFERROR(INDEX(Referensi!$E$5:$E$14,MATCH($J23,Referensi!$D$5:$D$14,0)),"???")&amp;"-"&amp;TEXT(COUNTIFS($I$5:$I23,$I23,$J$5:$J23,$J23),"000"))</f>
        <v/>
      </c>
      <c r="C23" s="10"/>
      <c r="D23" s="10"/>
      <c r="E23" s="10"/>
      <c r="F23" s="10"/>
      <c r="G23" s="10"/>
      <c r="H23" s="10"/>
      <c r="I23" s="10"/>
      <c r="J23" s="11"/>
      <c r="K23" s="10"/>
      <c r="L23" s="11"/>
      <c r="M23" s="12"/>
      <c r="N23" s="12"/>
      <c r="O23" s="12"/>
      <c r="P23" s="13" t="str">
        <f t="shared" ca="1" si="1"/>
        <v/>
      </c>
      <c r="Q23" s="13" t="str">
        <f t="shared" ca="1" si="2"/>
        <v/>
      </c>
      <c r="R23" s="8" t="str">
        <f>IF($C23="","",IF($O23="","Belum ada kontak",IF($P23&gt;Referensi!$P$8,"Segera follow up",IF($P23&gt;Referensi!$P$9,"Perlu dipantau","Terkini"))))</f>
        <v/>
      </c>
      <c r="S23" s="13" t="str">
        <f>IF($C23="","",IF(OR($L23="Selesai",$L23="Batal"),0,IF($Q23="",5,IF($Q23&lt;0,50,IF($Q23&lt;=Referensi!$P$5,40,IF($Q23&lt;=Referensi!$P$6,30,IF($Q23&lt;=Referensi!$P$7,20,10)))))+IF($O23="",25,IF($P23&gt;Referensi!$P$8,30,IF($P23&gt;Referensi!$P$9,20,5)))+IF($U23="",5,IF($U23&gt;=Referensi!$P$10,20,IF($U23&gt;=Referensi!$P$11,10,5)))+IF($L23="Tertunda",15,IF(OR($L23="Negosiasi",$L23="Penawaran"),12,IF($L23="Berjalan",8,IF($L23="Prospek",5,0))))))</f>
        <v/>
      </c>
      <c r="T23" s="8" t="str">
        <f>IF($C23="","",IF(OR($L23="Selesai",$L23="Batal"),"Tidak aktif",IF($S23&gt;=Referensi!$P$12,"KRITIS",IF($S23&gt;=Referensi!$P$13,"Tinggi",IF($S23&gt;=Referensi!$P$14,"Sedang","Rendah")))))</f>
        <v/>
      </c>
      <c r="U23" s="14"/>
      <c r="V23" s="15"/>
      <c r="W23" s="9" t="str">
        <f t="shared" si="3"/>
        <v/>
      </c>
    </row>
    <row r="24" spans="1:23" ht="31.5" customHeight="1">
      <c r="A24" s="8" t="str">
        <f t="shared" si="0"/>
        <v/>
      </c>
      <c r="B24" s="9" t="str">
        <f t="array" ref="B24">IF(OR($C24="",$I24="",$J24=""),"","JSI-"&amp;IFERROR(INDEX(Referensi!$B$5:$B$14,MATCH($I24,Referensi!$A$5:$A$14,0)),"???")&amp;"-"&amp;IFERROR(INDEX(Referensi!$E$5:$E$14,MATCH($J24,Referensi!$D$5:$D$14,0)),"???")&amp;"-"&amp;TEXT(COUNTIFS($I$5:$I24,$I24,$J$5:$J24,$J24),"000"))</f>
        <v/>
      </c>
      <c r="C24" s="10"/>
      <c r="D24" s="10"/>
      <c r="E24" s="10"/>
      <c r="F24" s="10"/>
      <c r="G24" s="10"/>
      <c r="H24" s="10"/>
      <c r="I24" s="10"/>
      <c r="J24" s="11"/>
      <c r="K24" s="10"/>
      <c r="L24" s="11"/>
      <c r="M24" s="12"/>
      <c r="N24" s="12"/>
      <c r="O24" s="12"/>
      <c r="P24" s="13" t="str">
        <f t="shared" ca="1" si="1"/>
        <v/>
      </c>
      <c r="Q24" s="13" t="str">
        <f t="shared" ca="1" si="2"/>
        <v/>
      </c>
      <c r="R24" s="8" t="str">
        <f>IF($C24="","",IF($O24="","Belum ada kontak",IF($P24&gt;Referensi!$P$8,"Segera follow up",IF($P24&gt;Referensi!$P$9,"Perlu dipantau","Terkini"))))</f>
        <v/>
      </c>
      <c r="S24" s="13" t="str">
        <f>IF($C24="","",IF(OR($L24="Selesai",$L24="Batal"),0,IF($Q24="",5,IF($Q24&lt;0,50,IF($Q24&lt;=Referensi!$P$5,40,IF($Q24&lt;=Referensi!$P$6,30,IF($Q24&lt;=Referensi!$P$7,20,10)))))+IF($O24="",25,IF($P24&gt;Referensi!$P$8,30,IF($P24&gt;Referensi!$P$9,20,5)))+IF($U24="",5,IF($U24&gt;=Referensi!$P$10,20,IF($U24&gt;=Referensi!$P$11,10,5)))+IF($L24="Tertunda",15,IF(OR($L24="Negosiasi",$L24="Penawaran"),12,IF($L24="Berjalan",8,IF($L24="Prospek",5,0))))))</f>
        <v/>
      </c>
      <c r="T24" s="8" t="str">
        <f>IF($C24="","",IF(OR($L24="Selesai",$L24="Batal"),"Tidak aktif",IF($S24&gt;=Referensi!$P$12,"KRITIS",IF($S24&gt;=Referensi!$P$13,"Tinggi",IF($S24&gt;=Referensi!$P$14,"Sedang","Rendah")))))</f>
        <v/>
      </c>
      <c r="U24" s="14"/>
      <c r="V24" s="15"/>
      <c r="W24" s="9" t="str">
        <f t="shared" si="3"/>
        <v/>
      </c>
    </row>
    <row r="25" spans="1:23" ht="31.5" customHeight="1">
      <c r="A25" s="8" t="str">
        <f t="shared" si="0"/>
        <v/>
      </c>
      <c r="B25" s="9" t="str">
        <f t="array" ref="B25">IF(OR($C25="",$I25="",$J25=""),"","JSI-"&amp;IFERROR(INDEX(Referensi!$B$5:$B$14,MATCH($I25,Referensi!$A$5:$A$14,0)),"???")&amp;"-"&amp;IFERROR(INDEX(Referensi!$E$5:$E$14,MATCH($J25,Referensi!$D$5:$D$14,0)),"???")&amp;"-"&amp;TEXT(COUNTIFS($I$5:$I25,$I25,$J$5:$J25,$J25),"000"))</f>
        <v/>
      </c>
      <c r="C25" s="10"/>
      <c r="D25" s="10"/>
      <c r="E25" s="10"/>
      <c r="F25" s="10"/>
      <c r="G25" s="10"/>
      <c r="H25" s="10"/>
      <c r="I25" s="10"/>
      <c r="J25" s="11"/>
      <c r="K25" s="10"/>
      <c r="L25" s="11"/>
      <c r="M25" s="12"/>
      <c r="N25" s="12"/>
      <c r="O25" s="12"/>
      <c r="P25" s="13" t="str">
        <f t="shared" ca="1" si="1"/>
        <v/>
      </c>
      <c r="Q25" s="13" t="str">
        <f t="shared" ca="1" si="2"/>
        <v/>
      </c>
      <c r="R25" s="8" t="str">
        <f>IF($C25="","",IF($O25="","Belum ada kontak",IF($P25&gt;Referensi!$P$8,"Segera follow up",IF($P25&gt;Referensi!$P$9,"Perlu dipantau","Terkini"))))</f>
        <v/>
      </c>
      <c r="S25" s="13" t="str">
        <f>IF($C25="","",IF(OR($L25="Selesai",$L25="Batal"),0,IF($Q25="",5,IF($Q25&lt;0,50,IF($Q25&lt;=Referensi!$P$5,40,IF($Q25&lt;=Referensi!$P$6,30,IF($Q25&lt;=Referensi!$P$7,20,10)))))+IF($O25="",25,IF($P25&gt;Referensi!$P$8,30,IF($P25&gt;Referensi!$P$9,20,5)))+IF($U25="",5,IF($U25&gt;=Referensi!$P$10,20,IF($U25&gt;=Referensi!$P$11,10,5)))+IF($L25="Tertunda",15,IF(OR($L25="Negosiasi",$L25="Penawaran"),12,IF($L25="Berjalan",8,IF($L25="Prospek",5,0))))))</f>
        <v/>
      </c>
      <c r="T25" s="8" t="str">
        <f>IF($C25="","",IF(OR($L25="Selesai",$L25="Batal"),"Tidak aktif",IF($S25&gt;=Referensi!$P$12,"KRITIS",IF($S25&gt;=Referensi!$P$13,"Tinggi",IF($S25&gt;=Referensi!$P$14,"Sedang","Rendah")))))</f>
        <v/>
      </c>
      <c r="U25" s="14"/>
      <c r="V25" s="15"/>
      <c r="W25" s="9" t="str">
        <f t="shared" si="3"/>
        <v/>
      </c>
    </row>
    <row r="26" spans="1:23" ht="31.5" customHeight="1">
      <c r="A26" s="8" t="str">
        <f t="shared" si="0"/>
        <v/>
      </c>
      <c r="B26" s="9" t="str">
        <f t="array" ref="B26">IF(OR($C26="",$I26="",$J26=""),"","JSI-"&amp;IFERROR(INDEX(Referensi!$B$5:$B$14,MATCH($I26,Referensi!$A$5:$A$14,0)),"???")&amp;"-"&amp;IFERROR(INDEX(Referensi!$E$5:$E$14,MATCH($J26,Referensi!$D$5:$D$14,0)),"???")&amp;"-"&amp;TEXT(COUNTIFS($I$5:$I26,$I26,$J$5:$J26,$J26),"000"))</f>
        <v/>
      </c>
      <c r="C26" s="10"/>
      <c r="D26" s="10"/>
      <c r="E26" s="10"/>
      <c r="F26" s="10"/>
      <c r="G26" s="10"/>
      <c r="H26" s="10"/>
      <c r="I26" s="10"/>
      <c r="J26" s="11"/>
      <c r="K26" s="10"/>
      <c r="L26" s="11"/>
      <c r="M26" s="12"/>
      <c r="N26" s="12"/>
      <c r="O26" s="12"/>
      <c r="P26" s="13" t="str">
        <f t="shared" ca="1" si="1"/>
        <v/>
      </c>
      <c r="Q26" s="13" t="str">
        <f t="shared" ca="1" si="2"/>
        <v/>
      </c>
      <c r="R26" s="8" t="str">
        <f>IF($C26="","",IF($O26="","Belum ada kontak",IF($P26&gt;Referensi!$P$8,"Segera follow up",IF($P26&gt;Referensi!$P$9,"Perlu dipantau","Terkini"))))</f>
        <v/>
      </c>
      <c r="S26" s="13" t="str">
        <f>IF($C26="","",IF(OR($L26="Selesai",$L26="Batal"),0,IF($Q26="",5,IF($Q26&lt;0,50,IF($Q26&lt;=Referensi!$P$5,40,IF($Q26&lt;=Referensi!$P$6,30,IF($Q26&lt;=Referensi!$P$7,20,10)))))+IF($O26="",25,IF($P26&gt;Referensi!$P$8,30,IF($P26&gt;Referensi!$P$9,20,5)))+IF($U26="",5,IF($U26&gt;=Referensi!$P$10,20,IF($U26&gt;=Referensi!$P$11,10,5)))+IF($L26="Tertunda",15,IF(OR($L26="Negosiasi",$L26="Penawaran"),12,IF($L26="Berjalan",8,IF($L26="Prospek",5,0))))))</f>
        <v/>
      </c>
      <c r="T26" s="8" t="str">
        <f>IF($C26="","",IF(OR($L26="Selesai",$L26="Batal"),"Tidak aktif",IF($S26&gt;=Referensi!$P$12,"KRITIS",IF($S26&gt;=Referensi!$P$13,"Tinggi",IF($S26&gt;=Referensi!$P$14,"Sedang","Rendah")))))</f>
        <v/>
      </c>
      <c r="U26" s="14"/>
      <c r="V26" s="15"/>
      <c r="W26" s="9" t="str">
        <f t="shared" si="3"/>
        <v/>
      </c>
    </row>
    <row r="27" spans="1:23" ht="31.5" customHeight="1">
      <c r="A27" s="8" t="str">
        <f t="shared" si="0"/>
        <v/>
      </c>
      <c r="B27" s="9" t="str">
        <f t="array" ref="B27">IF(OR($C27="",$I27="",$J27=""),"","JSI-"&amp;IFERROR(INDEX(Referensi!$B$5:$B$14,MATCH($I27,Referensi!$A$5:$A$14,0)),"???")&amp;"-"&amp;IFERROR(INDEX(Referensi!$E$5:$E$14,MATCH($J27,Referensi!$D$5:$D$14,0)),"???")&amp;"-"&amp;TEXT(COUNTIFS($I$5:$I27,$I27,$J$5:$J27,$J27),"000"))</f>
        <v/>
      </c>
      <c r="C27" s="10"/>
      <c r="D27" s="10"/>
      <c r="E27" s="10"/>
      <c r="F27" s="10"/>
      <c r="G27" s="10"/>
      <c r="H27" s="10"/>
      <c r="I27" s="10"/>
      <c r="J27" s="11"/>
      <c r="K27" s="10"/>
      <c r="L27" s="11"/>
      <c r="M27" s="12"/>
      <c r="N27" s="12"/>
      <c r="O27" s="12"/>
      <c r="P27" s="13" t="str">
        <f t="shared" ca="1" si="1"/>
        <v/>
      </c>
      <c r="Q27" s="13" t="str">
        <f t="shared" ca="1" si="2"/>
        <v/>
      </c>
      <c r="R27" s="8" t="str">
        <f>IF($C27="","",IF($O27="","Belum ada kontak",IF($P27&gt;Referensi!$P$8,"Segera follow up",IF($P27&gt;Referensi!$P$9,"Perlu dipantau","Terkini"))))</f>
        <v/>
      </c>
      <c r="S27" s="13" t="str">
        <f>IF($C27="","",IF(OR($L27="Selesai",$L27="Batal"),0,IF($Q27="",5,IF($Q27&lt;0,50,IF($Q27&lt;=Referensi!$P$5,40,IF($Q27&lt;=Referensi!$P$6,30,IF($Q27&lt;=Referensi!$P$7,20,10)))))+IF($O27="",25,IF($P27&gt;Referensi!$P$8,30,IF($P27&gt;Referensi!$P$9,20,5)))+IF($U27="",5,IF($U27&gt;=Referensi!$P$10,20,IF($U27&gt;=Referensi!$P$11,10,5)))+IF($L27="Tertunda",15,IF(OR($L27="Negosiasi",$L27="Penawaran"),12,IF($L27="Berjalan",8,IF($L27="Prospek",5,0))))))</f>
        <v/>
      </c>
      <c r="T27" s="8" t="str">
        <f>IF($C27="","",IF(OR($L27="Selesai",$L27="Batal"),"Tidak aktif",IF($S27&gt;=Referensi!$P$12,"KRITIS",IF($S27&gt;=Referensi!$P$13,"Tinggi",IF($S27&gt;=Referensi!$P$14,"Sedang","Rendah")))))</f>
        <v/>
      </c>
      <c r="U27" s="14"/>
      <c r="V27" s="15"/>
      <c r="W27" s="9" t="str">
        <f t="shared" si="3"/>
        <v/>
      </c>
    </row>
    <row r="28" spans="1:23" ht="31.5" customHeight="1">
      <c r="A28" s="8" t="str">
        <f t="shared" si="0"/>
        <v/>
      </c>
      <c r="B28" s="9" t="str">
        <f t="array" ref="B28">IF(OR($C28="",$I28="",$J28=""),"","JSI-"&amp;IFERROR(INDEX(Referensi!$B$5:$B$14,MATCH($I28,Referensi!$A$5:$A$14,0)),"???")&amp;"-"&amp;IFERROR(INDEX(Referensi!$E$5:$E$14,MATCH($J28,Referensi!$D$5:$D$14,0)),"???")&amp;"-"&amp;TEXT(COUNTIFS($I$5:$I28,$I28,$J$5:$J28,$J28),"000"))</f>
        <v/>
      </c>
      <c r="C28" s="10"/>
      <c r="D28" s="10"/>
      <c r="E28" s="10"/>
      <c r="F28" s="10"/>
      <c r="G28" s="10"/>
      <c r="H28" s="10"/>
      <c r="I28" s="10"/>
      <c r="J28" s="11"/>
      <c r="K28" s="10"/>
      <c r="L28" s="11"/>
      <c r="M28" s="12"/>
      <c r="N28" s="12"/>
      <c r="O28" s="12"/>
      <c r="P28" s="13" t="str">
        <f t="shared" ca="1" si="1"/>
        <v/>
      </c>
      <c r="Q28" s="13" t="str">
        <f t="shared" ca="1" si="2"/>
        <v/>
      </c>
      <c r="R28" s="8" t="str">
        <f>IF($C28="","",IF($O28="","Belum ada kontak",IF($P28&gt;Referensi!$P$8,"Segera follow up",IF($P28&gt;Referensi!$P$9,"Perlu dipantau","Terkini"))))</f>
        <v/>
      </c>
      <c r="S28" s="13" t="str">
        <f>IF($C28="","",IF(OR($L28="Selesai",$L28="Batal"),0,IF($Q28="",5,IF($Q28&lt;0,50,IF($Q28&lt;=Referensi!$P$5,40,IF($Q28&lt;=Referensi!$P$6,30,IF($Q28&lt;=Referensi!$P$7,20,10)))))+IF($O28="",25,IF($P28&gt;Referensi!$P$8,30,IF($P28&gt;Referensi!$P$9,20,5)))+IF($U28="",5,IF($U28&gt;=Referensi!$P$10,20,IF($U28&gt;=Referensi!$P$11,10,5)))+IF($L28="Tertunda",15,IF(OR($L28="Negosiasi",$L28="Penawaran"),12,IF($L28="Berjalan",8,IF($L28="Prospek",5,0))))))</f>
        <v/>
      </c>
      <c r="T28" s="8" t="str">
        <f>IF($C28="","",IF(OR($L28="Selesai",$L28="Batal"),"Tidak aktif",IF($S28&gt;=Referensi!$P$12,"KRITIS",IF($S28&gt;=Referensi!$P$13,"Tinggi",IF($S28&gt;=Referensi!$P$14,"Sedang","Rendah")))))</f>
        <v/>
      </c>
      <c r="U28" s="14"/>
      <c r="V28" s="15"/>
      <c r="W28" s="9" t="str">
        <f t="shared" si="3"/>
        <v/>
      </c>
    </row>
    <row r="29" spans="1:23" ht="31.5" customHeight="1">
      <c r="A29" s="8" t="str">
        <f t="shared" si="0"/>
        <v/>
      </c>
      <c r="B29" s="9" t="str">
        <f t="array" ref="B29">IF(OR($C29="",$I29="",$J29=""),"","JSI-"&amp;IFERROR(INDEX(Referensi!$B$5:$B$14,MATCH($I29,Referensi!$A$5:$A$14,0)),"???")&amp;"-"&amp;IFERROR(INDEX(Referensi!$E$5:$E$14,MATCH($J29,Referensi!$D$5:$D$14,0)),"???")&amp;"-"&amp;TEXT(COUNTIFS($I$5:$I29,$I29,$J$5:$J29,$J29),"000"))</f>
        <v/>
      </c>
      <c r="C29" s="10"/>
      <c r="D29" s="10"/>
      <c r="E29" s="10"/>
      <c r="F29" s="10"/>
      <c r="G29" s="10"/>
      <c r="H29" s="10"/>
      <c r="I29" s="10"/>
      <c r="J29" s="11"/>
      <c r="K29" s="10"/>
      <c r="L29" s="11"/>
      <c r="M29" s="12"/>
      <c r="N29" s="12"/>
      <c r="O29" s="12"/>
      <c r="P29" s="13" t="str">
        <f t="shared" ca="1" si="1"/>
        <v/>
      </c>
      <c r="Q29" s="13" t="str">
        <f t="shared" ca="1" si="2"/>
        <v/>
      </c>
      <c r="R29" s="8" t="str">
        <f>IF($C29="","",IF($O29="","Belum ada kontak",IF($P29&gt;Referensi!$P$8,"Segera follow up",IF($P29&gt;Referensi!$P$9,"Perlu dipantau","Terkini"))))</f>
        <v/>
      </c>
      <c r="S29" s="13" t="str">
        <f>IF($C29="","",IF(OR($L29="Selesai",$L29="Batal"),0,IF($Q29="",5,IF($Q29&lt;0,50,IF($Q29&lt;=Referensi!$P$5,40,IF($Q29&lt;=Referensi!$P$6,30,IF($Q29&lt;=Referensi!$P$7,20,10)))))+IF($O29="",25,IF($P29&gt;Referensi!$P$8,30,IF($P29&gt;Referensi!$P$9,20,5)))+IF($U29="",5,IF($U29&gt;=Referensi!$P$10,20,IF($U29&gt;=Referensi!$P$11,10,5)))+IF($L29="Tertunda",15,IF(OR($L29="Negosiasi",$L29="Penawaran"),12,IF($L29="Berjalan",8,IF($L29="Prospek",5,0))))))</f>
        <v/>
      </c>
      <c r="T29" s="8" t="str">
        <f>IF($C29="","",IF(OR($L29="Selesai",$L29="Batal"),"Tidak aktif",IF($S29&gt;=Referensi!$P$12,"KRITIS",IF($S29&gt;=Referensi!$P$13,"Tinggi",IF($S29&gt;=Referensi!$P$14,"Sedang","Rendah")))))</f>
        <v/>
      </c>
      <c r="U29" s="14"/>
      <c r="V29" s="15"/>
      <c r="W29" s="9" t="str">
        <f t="shared" si="3"/>
        <v/>
      </c>
    </row>
    <row r="30" spans="1:23" ht="31.5" customHeight="1">
      <c r="A30" s="8" t="str">
        <f t="shared" si="0"/>
        <v/>
      </c>
      <c r="B30" s="9" t="str">
        <f t="array" ref="B30">IF(OR($C30="",$I30="",$J30=""),"","JSI-"&amp;IFERROR(INDEX(Referensi!$B$5:$B$14,MATCH($I30,Referensi!$A$5:$A$14,0)),"???")&amp;"-"&amp;IFERROR(INDEX(Referensi!$E$5:$E$14,MATCH($J30,Referensi!$D$5:$D$14,0)),"???")&amp;"-"&amp;TEXT(COUNTIFS($I$5:$I30,$I30,$J$5:$J30,$J30),"000"))</f>
        <v/>
      </c>
      <c r="C30" s="10"/>
      <c r="D30" s="10"/>
      <c r="E30" s="10"/>
      <c r="F30" s="10"/>
      <c r="G30" s="10"/>
      <c r="H30" s="10"/>
      <c r="I30" s="10"/>
      <c r="J30" s="11"/>
      <c r="K30" s="10"/>
      <c r="L30" s="11"/>
      <c r="M30" s="12"/>
      <c r="N30" s="12"/>
      <c r="O30" s="12"/>
      <c r="P30" s="13" t="str">
        <f t="shared" ca="1" si="1"/>
        <v/>
      </c>
      <c r="Q30" s="13" t="str">
        <f t="shared" ca="1" si="2"/>
        <v/>
      </c>
      <c r="R30" s="8" t="str">
        <f>IF($C30="","",IF($O30="","Belum ada kontak",IF($P30&gt;Referensi!$P$8,"Segera follow up",IF($P30&gt;Referensi!$P$9,"Perlu dipantau","Terkini"))))</f>
        <v/>
      </c>
      <c r="S30" s="13" t="str">
        <f>IF($C30="","",IF(OR($L30="Selesai",$L30="Batal"),0,IF($Q30="",5,IF($Q30&lt;0,50,IF($Q30&lt;=Referensi!$P$5,40,IF($Q30&lt;=Referensi!$P$6,30,IF($Q30&lt;=Referensi!$P$7,20,10)))))+IF($O30="",25,IF($P30&gt;Referensi!$P$8,30,IF($P30&gt;Referensi!$P$9,20,5)))+IF($U30="",5,IF($U30&gt;=Referensi!$P$10,20,IF($U30&gt;=Referensi!$P$11,10,5)))+IF($L30="Tertunda",15,IF(OR($L30="Negosiasi",$L30="Penawaran"),12,IF($L30="Berjalan",8,IF($L30="Prospek",5,0))))))</f>
        <v/>
      </c>
      <c r="T30" s="8" t="str">
        <f>IF($C30="","",IF(OR($L30="Selesai",$L30="Batal"),"Tidak aktif",IF($S30&gt;=Referensi!$P$12,"KRITIS",IF($S30&gt;=Referensi!$P$13,"Tinggi",IF($S30&gt;=Referensi!$P$14,"Sedang","Rendah")))))</f>
        <v/>
      </c>
      <c r="U30" s="14"/>
      <c r="V30" s="15"/>
      <c r="W30" s="9" t="str">
        <f t="shared" si="3"/>
        <v/>
      </c>
    </row>
    <row r="31" spans="1:23" ht="31.5" customHeight="1">
      <c r="A31" s="8" t="str">
        <f t="shared" si="0"/>
        <v/>
      </c>
      <c r="B31" s="9" t="str">
        <f t="array" ref="B31">IF(OR($C31="",$I31="",$J31=""),"","JSI-"&amp;IFERROR(INDEX(Referensi!$B$5:$B$14,MATCH($I31,Referensi!$A$5:$A$14,0)),"???")&amp;"-"&amp;IFERROR(INDEX(Referensi!$E$5:$E$14,MATCH($J31,Referensi!$D$5:$D$14,0)),"???")&amp;"-"&amp;TEXT(COUNTIFS($I$5:$I31,$I31,$J$5:$J31,$J31),"000"))</f>
        <v/>
      </c>
      <c r="C31" s="10"/>
      <c r="D31" s="10"/>
      <c r="E31" s="10"/>
      <c r="F31" s="10"/>
      <c r="G31" s="10"/>
      <c r="H31" s="10"/>
      <c r="I31" s="10"/>
      <c r="J31" s="11"/>
      <c r="K31" s="10"/>
      <c r="L31" s="11"/>
      <c r="M31" s="12"/>
      <c r="N31" s="12"/>
      <c r="O31" s="12"/>
      <c r="P31" s="13" t="str">
        <f t="shared" ca="1" si="1"/>
        <v/>
      </c>
      <c r="Q31" s="13" t="str">
        <f t="shared" ca="1" si="2"/>
        <v/>
      </c>
      <c r="R31" s="8" t="str">
        <f>IF($C31="","",IF($O31="","Belum ada kontak",IF($P31&gt;Referensi!$P$8,"Segera follow up",IF($P31&gt;Referensi!$P$9,"Perlu dipantau","Terkini"))))</f>
        <v/>
      </c>
      <c r="S31" s="13" t="str">
        <f>IF($C31="","",IF(OR($L31="Selesai",$L31="Batal"),0,IF($Q31="",5,IF($Q31&lt;0,50,IF($Q31&lt;=Referensi!$P$5,40,IF($Q31&lt;=Referensi!$P$6,30,IF($Q31&lt;=Referensi!$P$7,20,10)))))+IF($O31="",25,IF($P31&gt;Referensi!$P$8,30,IF($P31&gt;Referensi!$P$9,20,5)))+IF($U31="",5,IF($U31&gt;=Referensi!$P$10,20,IF($U31&gt;=Referensi!$P$11,10,5)))+IF($L31="Tertunda",15,IF(OR($L31="Negosiasi",$L31="Penawaran"),12,IF($L31="Berjalan",8,IF($L31="Prospek",5,0))))))</f>
        <v/>
      </c>
      <c r="T31" s="8" t="str">
        <f>IF($C31="","",IF(OR($L31="Selesai",$L31="Batal"),"Tidak aktif",IF($S31&gt;=Referensi!$P$12,"KRITIS",IF($S31&gt;=Referensi!$P$13,"Tinggi",IF($S31&gt;=Referensi!$P$14,"Sedang","Rendah")))))</f>
        <v/>
      </c>
      <c r="U31" s="14"/>
      <c r="V31" s="15"/>
      <c r="W31" s="9" t="str">
        <f t="shared" si="3"/>
        <v/>
      </c>
    </row>
    <row r="32" spans="1:23" ht="31.5" customHeight="1">
      <c r="A32" s="8" t="str">
        <f t="shared" si="0"/>
        <v/>
      </c>
      <c r="B32" s="9" t="str">
        <f t="array" ref="B32">IF(OR($C32="",$I32="",$J32=""),"","JSI-"&amp;IFERROR(INDEX(Referensi!$B$5:$B$14,MATCH($I32,Referensi!$A$5:$A$14,0)),"???")&amp;"-"&amp;IFERROR(INDEX(Referensi!$E$5:$E$14,MATCH($J32,Referensi!$D$5:$D$14,0)),"???")&amp;"-"&amp;TEXT(COUNTIFS($I$5:$I32,$I32,$J$5:$J32,$J32),"000"))</f>
        <v/>
      </c>
      <c r="C32" s="10"/>
      <c r="D32" s="10"/>
      <c r="E32" s="10"/>
      <c r="F32" s="10"/>
      <c r="G32" s="10"/>
      <c r="H32" s="10"/>
      <c r="I32" s="10"/>
      <c r="J32" s="11"/>
      <c r="K32" s="10"/>
      <c r="L32" s="11"/>
      <c r="M32" s="12"/>
      <c r="N32" s="12"/>
      <c r="O32" s="12"/>
      <c r="P32" s="13" t="str">
        <f t="shared" ca="1" si="1"/>
        <v/>
      </c>
      <c r="Q32" s="13" t="str">
        <f t="shared" ca="1" si="2"/>
        <v/>
      </c>
      <c r="R32" s="8" t="str">
        <f>IF($C32="","",IF($O32="","Belum ada kontak",IF($P32&gt;Referensi!$P$8,"Segera follow up",IF($P32&gt;Referensi!$P$9,"Perlu dipantau","Terkini"))))</f>
        <v/>
      </c>
      <c r="S32" s="13" t="str">
        <f>IF($C32="","",IF(OR($L32="Selesai",$L32="Batal"),0,IF($Q32="",5,IF($Q32&lt;0,50,IF($Q32&lt;=Referensi!$P$5,40,IF($Q32&lt;=Referensi!$P$6,30,IF($Q32&lt;=Referensi!$P$7,20,10)))))+IF($O32="",25,IF($P32&gt;Referensi!$P$8,30,IF($P32&gt;Referensi!$P$9,20,5)))+IF($U32="",5,IF($U32&gt;=Referensi!$P$10,20,IF($U32&gt;=Referensi!$P$11,10,5)))+IF($L32="Tertunda",15,IF(OR($L32="Negosiasi",$L32="Penawaran"),12,IF($L32="Berjalan",8,IF($L32="Prospek",5,0))))))</f>
        <v/>
      </c>
      <c r="T32" s="8" t="str">
        <f>IF($C32="","",IF(OR($L32="Selesai",$L32="Batal"),"Tidak aktif",IF($S32&gt;=Referensi!$P$12,"KRITIS",IF($S32&gt;=Referensi!$P$13,"Tinggi",IF($S32&gt;=Referensi!$P$14,"Sedang","Rendah")))))</f>
        <v/>
      </c>
      <c r="U32" s="14"/>
      <c r="V32" s="15"/>
      <c r="W32" s="9" t="str">
        <f t="shared" si="3"/>
        <v/>
      </c>
    </row>
    <row r="33" spans="1:23" ht="31.5" customHeight="1">
      <c r="A33" s="8" t="str">
        <f t="shared" si="0"/>
        <v/>
      </c>
      <c r="B33" s="9" t="str">
        <f t="array" ref="B33">IF(OR($C33="",$I33="",$J33=""),"","JSI-"&amp;IFERROR(INDEX(Referensi!$B$5:$B$14,MATCH($I33,Referensi!$A$5:$A$14,0)),"???")&amp;"-"&amp;IFERROR(INDEX(Referensi!$E$5:$E$14,MATCH($J33,Referensi!$D$5:$D$14,0)),"???")&amp;"-"&amp;TEXT(COUNTIFS($I$5:$I33,$I33,$J$5:$J33,$J33),"000"))</f>
        <v/>
      </c>
      <c r="C33" s="10"/>
      <c r="D33" s="10"/>
      <c r="E33" s="10"/>
      <c r="F33" s="10"/>
      <c r="G33" s="10"/>
      <c r="H33" s="10"/>
      <c r="I33" s="10"/>
      <c r="J33" s="11"/>
      <c r="K33" s="10"/>
      <c r="L33" s="11"/>
      <c r="M33" s="12"/>
      <c r="N33" s="12"/>
      <c r="O33" s="12"/>
      <c r="P33" s="13" t="str">
        <f t="shared" ca="1" si="1"/>
        <v/>
      </c>
      <c r="Q33" s="13" t="str">
        <f t="shared" ca="1" si="2"/>
        <v/>
      </c>
      <c r="R33" s="8" t="str">
        <f>IF($C33="","",IF($O33="","Belum ada kontak",IF($P33&gt;Referensi!$P$8,"Segera follow up",IF($P33&gt;Referensi!$P$9,"Perlu dipantau","Terkini"))))</f>
        <v/>
      </c>
      <c r="S33" s="13" t="str">
        <f>IF($C33="","",IF(OR($L33="Selesai",$L33="Batal"),0,IF($Q33="",5,IF($Q33&lt;0,50,IF($Q33&lt;=Referensi!$P$5,40,IF($Q33&lt;=Referensi!$P$6,30,IF($Q33&lt;=Referensi!$P$7,20,10)))))+IF($O33="",25,IF($P33&gt;Referensi!$P$8,30,IF($P33&gt;Referensi!$P$9,20,5)))+IF($U33="",5,IF($U33&gt;=Referensi!$P$10,20,IF($U33&gt;=Referensi!$P$11,10,5)))+IF($L33="Tertunda",15,IF(OR($L33="Negosiasi",$L33="Penawaran"),12,IF($L33="Berjalan",8,IF($L33="Prospek",5,0))))))</f>
        <v/>
      </c>
      <c r="T33" s="8" t="str">
        <f>IF($C33="","",IF(OR($L33="Selesai",$L33="Batal"),"Tidak aktif",IF($S33&gt;=Referensi!$P$12,"KRITIS",IF($S33&gt;=Referensi!$P$13,"Tinggi",IF($S33&gt;=Referensi!$P$14,"Sedang","Rendah")))))</f>
        <v/>
      </c>
      <c r="U33" s="14"/>
      <c r="V33" s="15"/>
      <c r="W33" s="9" t="str">
        <f t="shared" si="3"/>
        <v/>
      </c>
    </row>
    <row r="34" spans="1:23" ht="31.5" customHeight="1">
      <c r="A34" s="8" t="str">
        <f t="shared" si="0"/>
        <v/>
      </c>
      <c r="B34" s="9" t="str">
        <f t="array" ref="B34">IF(OR($C34="",$I34="",$J34=""),"","JSI-"&amp;IFERROR(INDEX(Referensi!$B$5:$B$14,MATCH($I34,Referensi!$A$5:$A$14,0)),"???")&amp;"-"&amp;IFERROR(INDEX(Referensi!$E$5:$E$14,MATCH($J34,Referensi!$D$5:$D$14,0)),"???")&amp;"-"&amp;TEXT(COUNTIFS($I$5:$I34,$I34,$J$5:$J34,$J34),"000"))</f>
        <v/>
      </c>
      <c r="C34" s="10"/>
      <c r="D34" s="10"/>
      <c r="E34" s="10"/>
      <c r="F34" s="10"/>
      <c r="G34" s="10"/>
      <c r="H34" s="10"/>
      <c r="I34" s="10"/>
      <c r="J34" s="11"/>
      <c r="K34" s="10"/>
      <c r="L34" s="11"/>
      <c r="M34" s="12"/>
      <c r="N34" s="12"/>
      <c r="O34" s="12"/>
      <c r="P34" s="13" t="str">
        <f t="shared" ca="1" si="1"/>
        <v/>
      </c>
      <c r="Q34" s="13" t="str">
        <f t="shared" ca="1" si="2"/>
        <v/>
      </c>
      <c r="R34" s="8" t="str">
        <f>IF($C34="","",IF($O34="","Belum ada kontak",IF($P34&gt;Referensi!$P$8,"Segera follow up",IF($P34&gt;Referensi!$P$9,"Perlu dipantau","Terkini"))))</f>
        <v/>
      </c>
      <c r="S34" s="13" t="str">
        <f>IF($C34="","",IF(OR($L34="Selesai",$L34="Batal"),0,IF($Q34="",5,IF($Q34&lt;0,50,IF($Q34&lt;=Referensi!$P$5,40,IF($Q34&lt;=Referensi!$P$6,30,IF($Q34&lt;=Referensi!$P$7,20,10)))))+IF($O34="",25,IF($P34&gt;Referensi!$P$8,30,IF($P34&gt;Referensi!$P$9,20,5)))+IF($U34="",5,IF($U34&gt;=Referensi!$P$10,20,IF($U34&gt;=Referensi!$P$11,10,5)))+IF($L34="Tertunda",15,IF(OR($L34="Negosiasi",$L34="Penawaran"),12,IF($L34="Berjalan",8,IF($L34="Prospek",5,0))))))</f>
        <v/>
      </c>
      <c r="T34" s="8" t="str">
        <f>IF($C34="","",IF(OR($L34="Selesai",$L34="Batal"),"Tidak aktif",IF($S34&gt;=Referensi!$P$12,"KRITIS",IF($S34&gt;=Referensi!$P$13,"Tinggi",IF($S34&gt;=Referensi!$P$14,"Sedang","Rendah")))))</f>
        <v/>
      </c>
      <c r="U34" s="14"/>
      <c r="V34" s="15"/>
      <c r="W34" s="9" t="str">
        <f t="shared" si="3"/>
        <v/>
      </c>
    </row>
    <row r="35" spans="1:23" ht="31.5" customHeight="1">
      <c r="A35" s="8" t="str">
        <f t="shared" si="0"/>
        <v/>
      </c>
      <c r="B35" s="9" t="str">
        <f t="array" ref="B35">IF(OR($C35="",$I35="",$J35=""),"","JSI-"&amp;IFERROR(INDEX(Referensi!$B$5:$B$14,MATCH($I35,Referensi!$A$5:$A$14,0)),"???")&amp;"-"&amp;IFERROR(INDEX(Referensi!$E$5:$E$14,MATCH($J35,Referensi!$D$5:$D$14,0)),"???")&amp;"-"&amp;TEXT(COUNTIFS($I$5:$I35,$I35,$J$5:$J35,$J35),"000"))</f>
        <v/>
      </c>
      <c r="C35" s="10"/>
      <c r="D35" s="10"/>
      <c r="E35" s="10"/>
      <c r="F35" s="10"/>
      <c r="G35" s="10"/>
      <c r="H35" s="10"/>
      <c r="I35" s="10"/>
      <c r="J35" s="11"/>
      <c r="K35" s="10"/>
      <c r="L35" s="11"/>
      <c r="M35" s="12"/>
      <c r="N35" s="12"/>
      <c r="O35" s="12"/>
      <c r="P35" s="13" t="str">
        <f t="shared" ca="1" si="1"/>
        <v/>
      </c>
      <c r="Q35" s="13" t="str">
        <f t="shared" ca="1" si="2"/>
        <v/>
      </c>
      <c r="R35" s="8" t="str">
        <f>IF($C35="","",IF($O35="","Belum ada kontak",IF($P35&gt;Referensi!$P$8,"Segera follow up",IF($P35&gt;Referensi!$P$9,"Perlu dipantau","Terkini"))))</f>
        <v/>
      </c>
      <c r="S35" s="13" t="str">
        <f>IF($C35="","",IF(OR($L35="Selesai",$L35="Batal"),0,IF($Q35="",5,IF($Q35&lt;0,50,IF($Q35&lt;=Referensi!$P$5,40,IF($Q35&lt;=Referensi!$P$6,30,IF($Q35&lt;=Referensi!$P$7,20,10)))))+IF($O35="",25,IF($P35&gt;Referensi!$P$8,30,IF($P35&gt;Referensi!$P$9,20,5)))+IF($U35="",5,IF($U35&gt;=Referensi!$P$10,20,IF($U35&gt;=Referensi!$P$11,10,5)))+IF($L35="Tertunda",15,IF(OR($L35="Negosiasi",$L35="Penawaran"),12,IF($L35="Berjalan",8,IF($L35="Prospek",5,0))))))</f>
        <v/>
      </c>
      <c r="T35" s="8" t="str">
        <f>IF($C35="","",IF(OR($L35="Selesai",$L35="Batal"),"Tidak aktif",IF($S35&gt;=Referensi!$P$12,"KRITIS",IF($S35&gt;=Referensi!$P$13,"Tinggi",IF($S35&gt;=Referensi!$P$14,"Sedang","Rendah")))))</f>
        <v/>
      </c>
      <c r="U35" s="14"/>
      <c r="V35" s="15"/>
      <c r="W35" s="9" t="str">
        <f t="shared" si="3"/>
        <v/>
      </c>
    </row>
    <row r="36" spans="1:23" ht="31.5" customHeight="1">
      <c r="A36" s="8" t="str">
        <f t="shared" si="0"/>
        <v/>
      </c>
      <c r="B36" s="9" t="str">
        <f t="array" ref="B36">IF(OR($C36="",$I36="",$J36=""),"","JSI-"&amp;IFERROR(INDEX(Referensi!$B$5:$B$14,MATCH($I36,Referensi!$A$5:$A$14,0)),"???")&amp;"-"&amp;IFERROR(INDEX(Referensi!$E$5:$E$14,MATCH($J36,Referensi!$D$5:$D$14,0)),"???")&amp;"-"&amp;TEXT(COUNTIFS($I$5:$I36,$I36,$J$5:$J36,$J36),"000"))</f>
        <v/>
      </c>
      <c r="C36" s="10"/>
      <c r="D36" s="10"/>
      <c r="E36" s="10"/>
      <c r="F36" s="10"/>
      <c r="G36" s="10"/>
      <c r="H36" s="10"/>
      <c r="I36" s="10"/>
      <c r="J36" s="11"/>
      <c r="K36" s="10"/>
      <c r="L36" s="11"/>
      <c r="M36" s="12"/>
      <c r="N36" s="12"/>
      <c r="O36" s="12"/>
      <c r="P36" s="13" t="str">
        <f t="shared" ca="1" si="1"/>
        <v/>
      </c>
      <c r="Q36" s="13" t="str">
        <f t="shared" ca="1" si="2"/>
        <v/>
      </c>
      <c r="R36" s="8" t="str">
        <f>IF($C36="","",IF($O36="","Belum ada kontak",IF($P36&gt;Referensi!$P$8,"Segera follow up",IF($P36&gt;Referensi!$P$9,"Perlu dipantau","Terkini"))))</f>
        <v/>
      </c>
      <c r="S36" s="13" t="str">
        <f>IF($C36="","",IF(OR($L36="Selesai",$L36="Batal"),0,IF($Q36="",5,IF($Q36&lt;0,50,IF($Q36&lt;=Referensi!$P$5,40,IF($Q36&lt;=Referensi!$P$6,30,IF($Q36&lt;=Referensi!$P$7,20,10)))))+IF($O36="",25,IF($P36&gt;Referensi!$P$8,30,IF($P36&gt;Referensi!$P$9,20,5)))+IF($U36="",5,IF($U36&gt;=Referensi!$P$10,20,IF($U36&gt;=Referensi!$P$11,10,5)))+IF($L36="Tertunda",15,IF(OR($L36="Negosiasi",$L36="Penawaran"),12,IF($L36="Berjalan",8,IF($L36="Prospek",5,0))))))</f>
        <v/>
      </c>
      <c r="T36" s="8" t="str">
        <f>IF($C36="","",IF(OR($L36="Selesai",$L36="Batal"),"Tidak aktif",IF($S36&gt;=Referensi!$P$12,"KRITIS",IF($S36&gt;=Referensi!$P$13,"Tinggi",IF($S36&gt;=Referensi!$P$14,"Sedang","Rendah")))))</f>
        <v/>
      </c>
      <c r="U36" s="14"/>
      <c r="V36" s="15"/>
      <c r="W36" s="9" t="str">
        <f t="shared" si="3"/>
        <v/>
      </c>
    </row>
    <row r="37" spans="1:23" ht="31.5" customHeight="1">
      <c r="A37" s="8" t="str">
        <f t="shared" si="0"/>
        <v/>
      </c>
      <c r="B37" s="9" t="str">
        <f t="array" ref="B37">IF(OR($C37="",$I37="",$J37=""),"","JSI-"&amp;IFERROR(INDEX(Referensi!$B$5:$B$14,MATCH($I37,Referensi!$A$5:$A$14,0)),"???")&amp;"-"&amp;IFERROR(INDEX(Referensi!$E$5:$E$14,MATCH($J37,Referensi!$D$5:$D$14,0)),"???")&amp;"-"&amp;TEXT(COUNTIFS($I$5:$I37,$I37,$J$5:$J37,$J37),"000"))</f>
        <v/>
      </c>
      <c r="C37" s="10"/>
      <c r="D37" s="10"/>
      <c r="E37" s="10"/>
      <c r="F37" s="10"/>
      <c r="G37" s="10"/>
      <c r="H37" s="10"/>
      <c r="I37" s="10"/>
      <c r="J37" s="11"/>
      <c r="K37" s="10"/>
      <c r="L37" s="11"/>
      <c r="M37" s="12"/>
      <c r="N37" s="12"/>
      <c r="O37" s="12"/>
      <c r="P37" s="13" t="str">
        <f t="shared" ca="1" si="1"/>
        <v/>
      </c>
      <c r="Q37" s="13" t="str">
        <f t="shared" ca="1" si="2"/>
        <v/>
      </c>
      <c r="R37" s="8" t="str">
        <f>IF($C37="","",IF($O37="","Belum ada kontak",IF($P37&gt;Referensi!$P$8,"Segera follow up",IF($P37&gt;Referensi!$P$9,"Perlu dipantau","Terkini"))))</f>
        <v/>
      </c>
      <c r="S37" s="13" t="str">
        <f>IF($C37="","",IF(OR($L37="Selesai",$L37="Batal"),0,IF($Q37="",5,IF($Q37&lt;0,50,IF($Q37&lt;=Referensi!$P$5,40,IF($Q37&lt;=Referensi!$P$6,30,IF($Q37&lt;=Referensi!$P$7,20,10)))))+IF($O37="",25,IF($P37&gt;Referensi!$P$8,30,IF($P37&gt;Referensi!$P$9,20,5)))+IF($U37="",5,IF($U37&gt;=Referensi!$P$10,20,IF($U37&gt;=Referensi!$P$11,10,5)))+IF($L37="Tertunda",15,IF(OR($L37="Negosiasi",$L37="Penawaran"),12,IF($L37="Berjalan",8,IF($L37="Prospek",5,0))))))</f>
        <v/>
      </c>
      <c r="T37" s="8" t="str">
        <f>IF($C37="","",IF(OR($L37="Selesai",$L37="Batal"),"Tidak aktif",IF($S37&gt;=Referensi!$P$12,"KRITIS",IF($S37&gt;=Referensi!$P$13,"Tinggi",IF($S37&gt;=Referensi!$P$14,"Sedang","Rendah")))))</f>
        <v/>
      </c>
      <c r="U37" s="14"/>
      <c r="V37" s="15"/>
      <c r="W37" s="9" t="str">
        <f t="shared" si="3"/>
        <v/>
      </c>
    </row>
    <row r="38" spans="1:23" ht="31.5" customHeight="1">
      <c r="A38" s="8" t="str">
        <f t="shared" si="0"/>
        <v/>
      </c>
      <c r="B38" s="9" t="str">
        <f t="array" ref="B38">IF(OR($C38="",$I38="",$J38=""),"","JSI-"&amp;IFERROR(INDEX(Referensi!$B$5:$B$14,MATCH($I38,Referensi!$A$5:$A$14,0)),"???")&amp;"-"&amp;IFERROR(INDEX(Referensi!$E$5:$E$14,MATCH($J38,Referensi!$D$5:$D$14,0)),"???")&amp;"-"&amp;TEXT(COUNTIFS($I$5:$I38,$I38,$J$5:$J38,$J38),"000"))</f>
        <v/>
      </c>
      <c r="C38" s="10"/>
      <c r="D38" s="10"/>
      <c r="E38" s="10"/>
      <c r="F38" s="10"/>
      <c r="G38" s="10"/>
      <c r="H38" s="10"/>
      <c r="I38" s="10"/>
      <c r="J38" s="11"/>
      <c r="K38" s="10"/>
      <c r="L38" s="11"/>
      <c r="M38" s="12"/>
      <c r="N38" s="12"/>
      <c r="O38" s="12"/>
      <c r="P38" s="13" t="str">
        <f t="shared" ca="1" si="1"/>
        <v/>
      </c>
      <c r="Q38" s="13" t="str">
        <f t="shared" ca="1" si="2"/>
        <v/>
      </c>
      <c r="R38" s="8" t="str">
        <f>IF($C38="","",IF($O38="","Belum ada kontak",IF($P38&gt;Referensi!$P$8,"Segera follow up",IF($P38&gt;Referensi!$P$9,"Perlu dipantau","Terkini"))))</f>
        <v/>
      </c>
      <c r="S38" s="13" t="str">
        <f>IF($C38="","",IF(OR($L38="Selesai",$L38="Batal"),0,IF($Q38="",5,IF($Q38&lt;0,50,IF($Q38&lt;=Referensi!$P$5,40,IF($Q38&lt;=Referensi!$P$6,30,IF($Q38&lt;=Referensi!$P$7,20,10)))))+IF($O38="",25,IF($P38&gt;Referensi!$P$8,30,IF($P38&gt;Referensi!$P$9,20,5)))+IF($U38="",5,IF($U38&gt;=Referensi!$P$10,20,IF($U38&gt;=Referensi!$P$11,10,5)))+IF($L38="Tertunda",15,IF(OR($L38="Negosiasi",$L38="Penawaran"),12,IF($L38="Berjalan",8,IF($L38="Prospek",5,0))))))</f>
        <v/>
      </c>
      <c r="T38" s="8" t="str">
        <f>IF($C38="","",IF(OR($L38="Selesai",$L38="Batal"),"Tidak aktif",IF($S38&gt;=Referensi!$P$12,"KRITIS",IF($S38&gt;=Referensi!$P$13,"Tinggi",IF($S38&gt;=Referensi!$P$14,"Sedang","Rendah")))))</f>
        <v/>
      </c>
      <c r="U38" s="14"/>
      <c r="V38" s="15"/>
      <c r="W38" s="9" t="str">
        <f t="shared" si="3"/>
        <v/>
      </c>
    </row>
    <row r="39" spans="1:23" ht="31.5" customHeight="1">
      <c r="A39" s="8" t="str">
        <f t="shared" si="0"/>
        <v/>
      </c>
      <c r="B39" s="9" t="str">
        <f t="array" ref="B39">IF(OR($C39="",$I39="",$J39=""),"","JSI-"&amp;IFERROR(INDEX(Referensi!$B$5:$B$14,MATCH($I39,Referensi!$A$5:$A$14,0)),"???")&amp;"-"&amp;IFERROR(INDEX(Referensi!$E$5:$E$14,MATCH($J39,Referensi!$D$5:$D$14,0)),"???")&amp;"-"&amp;TEXT(COUNTIFS($I$5:$I39,$I39,$J$5:$J39,$J39),"000"))</f>
        <v/>
      </c>
      <c r="C39" s="10"/>
      <c r="D39" s="10"/>
      <c r="E39" s="10"/>
      <c r="F39" s="10"/>
      <c r="G39" s="10"/>
      <c r="H39" s="10"/>
      <c r="I39" s="10"/>
      <c r="J39" s="11"/>
      <c r="K39" s="10"/>
      <c r="L39" s="11"/>
      <c r="M39" s="12"/>
      <c r="N39" s="12"/>
      <c r="O39" s="12"/>
      <c r="P39" s="13" t="str">
        <f t="shared" ca="1" si="1"/>
        <v/>
      </c>
      <c r="Q39" s="13" t="str">
        <f t="shared" ca="1" si="2"/>
        <v/>
      </c>
      <c r="R39" s="8" t="str">
        <f>IF($C39="","",IF($O39="","Belum ada kontak",IF($P39&gt;Referensi!$P$8,"Segera follow up",IF($P39&gt;Referensi!$P$9,"Perlu dipantau","Terkini"))))</f>
        <v/>
      </c>
      <c r="S39" s="13" t="str">
        <f>IF($C39="","",IF(OR($L39="Selesai",$L39="Batal"),0,IF($Q39="",5,IF($Q39&lt;0,50,IF($Q39&lt;=Referensi!$P$5,40,IF($Q39&lt;=Referensi!$P$6,30,IF($Q39&lt;=Referensi!$P$7,20,10)))))+IF($O39="",25,IF($P39&gt;Referensi!$P$8,30,IF($P39&gt;Referensi!$P$9,20,5)))+IF($U39="",5,IF($U39&gt;=Referensi!$P$10,20,IF($U39&gt;=Referensi!$P$11,10,5)))+IF($L39="Tertunda",15,IF(OR($L39="Negosiasi",$L39="Penawaran"),12,IF($L39="Berjalan",8,IF($L39="Prospek",5,0))))))</f>
        <v/>
      </c>
      <c r="T39" s="8" t="str">
        <f>IF($C39="","",IF(OR($L39="Selesai",$L39="Batal"),"Tidak aktif",IF($S39&gt;=Referensi!$P$12,"KRITIS",IF($S39&gt;=Referensi!$P$13,"Tinggi",IF($S39&gt;=Referensi!$P$14,"Sedang","Rendah")))))</f>
        <v/>
      </c>
      <c r="U39" s="14"/>
      <c r="V39" s="15"/>
      <c r="W39" s="9" t="str">
        <f t="shared" si="3"/>
        <v/>
      </c>
    </row>
    <row r="40" spans="1:23" ht="31.5" customHeight="1">
      <c r="A40" s="8" t="str">
        <f t="shared" si="0"/>
        <v/>
      </c>
      <c r="B40" s="9" t="str">
        <f t="array" ref="B40">IF(OR($C40="",$I40="",$J40=""),"","JSI-"&amp;IFERROR(INDEX(Referensi!$B$5:$B$14,MATCH($I40,Referensi!$A$5:$A$14,0)),"???")&amp;"-"&amp;IFERROR(INDEX(Referensi!$E$5:$E$14,MATCH($J40,Referensi!$D$5:$D$14,0)),"???")&amp;"-"&amp;TEXT(COUNTIFS($I$5:$I40,$I40,$J$5:$J40,$J40),"000"))</f>
        <v/>
      </c>
      <c r="C40" s="10"/>
      <c r="D40" s="10"/>
      <c r="E40" s="10"/>
      <c r="F40" s="10"/>
      <c r="G40" s="10"/>
      <c r="H40" s="10"/>
      <c r="I40" s="10"/>
      <c r="J40" s="11"/>
      <c r="K40" s="10"/>
      <c r="L40" s="11"/>
      <c r="M40" s="12"/>
      <c r="N40" s="12"/>
      <c r="O40" s="12"/>
      <c r="P40" s="13" t="str">
        <f t="shared" ca="1" si="1"/>
        <v/>
      </c>
      <c r="Q40" s="13" t="str">
        <f t="shared" ca="1" si="2"/>
        <v/>
      </c>
      <c r="R40" s="8" t="str">
        <f>IF($C40="","",IF($O40="","Belum ada kontak",IF($P40&gt;Referensi!$P$8,"Segera follow up",IF($P40&gt;Referensi!$P$9,"Perlu dipantau","Terkini"))))</f>
        <v/>
      </c>
      <c r="S40" s="13" t="str">
        <f>IF($C40="","",IF(OR($L40="Selesai",$L40="Batal"),0,IF($Q40="",5,IF($Q40&lt;0,50,IF($Q40&lt;=Referensi!$P$5,40,IF($Q40&lt;=Referensi!$P$6,30,IF($Q40&lt;=Referensi!$P$7,20,10)))))+IF($O40="",25,IF($P40&gt;Referensi!$P$8,30,IF($P40&gt;Referensi!$P$9,20,5)))+IF($U40="",5,IF($U40&gt;=Referensi!$P$10,20,IF($U40&gt;=Referensi!$P$11,10,5)))+IF($L40="Tertunda",15,IF(OR($L40="Negosiasi",$L40="Penawaran"),12,IF($L40="Berjalan",8,IF($L40="Prospek",5,0))))))</f>
        <v/>
      </c>
      <c r="T40" s="8" t="str">
        <f>IF($C40="","",IF(OR($L40="Selesai",$L40="Batal"),"Tidak aktif",IF($S40&gt;=Referensi!$P$12,"KRITIS",IF($S40&gt;=Referensi!$P$13,"Tinggi",IF($S40&gt;=Referensi!$P$14,"Sedang","Rendah")))))</f>
        <v/>
      </c>
      <c r="U40" s="14"/>
      <c r="V40" s="15"/>
      <c r="W40" s="9" t="str">
        <f t="shared" si="3"/>
        <v/>
      </c>
    </row>
    <row r="41" spans="1:23" ht="31.5" customHeight="1">
      <c r="A41" s="8" t="str">
        <f t="shared" si="0"/>
        <v/>
      </c>
      <c r="B41" s="9" t="str">
        <f t="array" ref="B41">IF(OR($C41="",$I41="",$J41=""),"","JSI-"&amp;IFERROR(INDEX(Referensi!$B$5:$B$14,MATCH($I41,Referensi!$A$5:$A$14,0)),"???")&amp;"-"&amp;IFERROR(INDEX(Referensi!$E$5:$E$14,MATCH($J41,Referensi!$D$5:$D$14,0)),"???")&amp;"-"&amp;TEXT(COUNTIFS($I$5:$I41,$I41,$J$5:$J41,$J41),"000"))</f>
        <v/>
      </c>
      <c r="C41" s="10"/>
      <c r="D41" s="10"/>
      <c r="E41" s="10"/>
      <c r="F41" s="10"/>
      <c r="G41" s="10"/>
      <c r="H41" s="10"/>
      <c r="I41" s="10"/>
      <c r="J41" s="11"/>
      <c r="K41" s="10"/>
      <c r="L41" s="11"/>
      <c r="M41" s="12"/>
      <c r="N41" s="12"/>
      <c r="O41" s="12"/>
      <c r="P41" s="13" t="str">
        <f t="shared" ca="1" si="1"/>
        <v/>
      </c>
      <c r="Q41" s="13" t="str">
        <f t="shared" ca="1" si="2"/>
        <v/>
      </c>
      <c r="R41" s="8" t="str">
        <f>IF($C41="","",IF($O41="","Belum ada kontak",IF($P41&gt;Referensi!$P$8,"Segera follow up",IF($P41&gt;Referensi!$P$9,"Perlu dipantau","Terkini"))))</f>
        <v/>
      </c>
      <c r="S41" s="13" t="str">
        <f>IF($C41="","",IF(OR($L41="Selesai",$L41="Batal"),0,IF($Q41="",5,IF($Q41&lt;0,50,IF($Q41&lt;=Referensi!$P$5,40,IF($Q41&lt;=Referensi!$P$6,30,IF($Q41&lt;=Referensi!$P$7,20,10)))))+IF($O41="",25,IF($P41&gt;Referensi!$P$8,30,IF($P41&gt;Referensi!$P$9,20,5)))+IF($U41="",5,IF($U41&gt;=Referensi!$P$10,20,IF($U41&gt;=Referensi!$P$11,10,5)))+IF($L41="Tertunda",15,IF(OR($L41="Negosiasi",$L41="Penawaran"),12,IF($L41="Berjalan",8,IF($L41="Prospek",5,0))))))</f>
        <v/>
      </c>
      <c r="T41" s="8" t="str">
        <f>IF($C41="","",IF(OR($L41="Selesai",$L41="Batal"),"Tidak aktif",IF($S41&gt;=Referensi!$P$12,"KRITIS",IF($S41&gt;=Referensi!$P$13,"Tinggi",IF($S41&gt;=Referensi!$P$14,"Sedang","Rendah")))))</f>
        <v/>
      </c>
      <c r="U41" s="14"/>
      <c r="V41" s="15"/>
      <c r="W41" s="9" t="str">
        <f t="shared" si="3"/>
        <v/>
      </c>
    </row>
    <row r="42" spans="1:23" ht="31.5" customHeight="1">
      <c r="A42" s="8" t="str">
        <f t="shared" si="0"/>
        <v/>
      </c>
      <c r="B42" s="9" t="str">
        <f t="array" ref="B42">IF(OR($C42="",$I42="",$J42=""),"","JSI-"&amp;IFERROR(INDEX(Referensi!$B$5:$B$14,MATCH($I42,Referensi!$A$5:$A$14,0)),"???")&amp;"-"&amp;IFERROR(INDEX(Referensi!$E$5:$E$14,MATCH($J42,Referensi!$D$5:$D$14,0)),"???")&amp;"-"&amp;TEXT(COUNTIFS($I$5:$I42,$I42,$J$5:$J42,$J42),"000"))</f>
        <v/>
      </c>
      <c r="C42" s="10"/>
      <c r="D42" s="10"/>
      <c r="E42" s="10"/>
      <c r="F42" s="10"/>
      <c r="G42" s="10"/>
      <c r="H42" s="10"/>
      <c r="I42" s="10"/>
      <c r="J42" s="11"/>
      <c r="K42" s="10"/>
      <c r="L42" s="11"/>
      <c r="M42" s="12"/>
      <c r="N42" s="12"/>
      <c r="O42" s="12"/>
      <c r="P42" s="13" t="str">
        <f t="shared" ca="1" si="1"/>
        <v/>
      </c>
      <c r="Q42" s="13" t="str">
        <f t="shared" ca="1" si="2"/>
        <v/>
      </c>
      <c r="R42" s="8" t="str">
        <f>IF($C42="","",IF($O42="","Belum ada kontak",IF($P42&gt;Referensi!$P$8,"Segera follow up",IF($P42&gt;Referensi!$P$9,"Perlu dipantau","Terkini"))))</f>
        <v/>
      </c>
      <c r="S42" s="13" t="str">
        <f>IF($C42="","",IF(OR($L42="Selesai",$L42="Batal"),0,IF($Q42="",5,IF($Q42&lt;0,50,IF($Q42&lt;=Referensi!$P$5,40,IF($Q42&lt;=Referensi!$P$6,30,IF($Q42&lt;=Referensi!$P$7,20,10)))))+IF($O42="",25,IF($P42&gt;Referensi!$P$8,30,IF($P42&gt;Referensi!$P$9,20,5)))+IF($U42="",5,IF($U42&gt;=Referensi!$P$10,20,IF($U42&gt;=Referensi!$P$11,10,5)))+IF($L42="Tertunda",15,IF(OR($L42="Negosiasi",$L42="Penawaran"),12,IF($L42="Berjalan",8,IF($L42="Prospek",5,0))))))</f>
        <v/>
      </c>
      <c r="T42" s="8" t="str">
        <f>IF($C42="","",IF(OR($L42="Selesai",$L42="Batal"),"Tidak aktif",IF($S42&gt;=Referensi!$P$12,"KRITIS",IF($S42&gt;=Referensi!$P$13,"Tinggi",IF($S42&gt;=Referensi!$P$14,"Sedang","Rendah")))))</f>
        <v/>
      </c>
      <c r="U42" s="14"/>
      <c r="V42" s="15"/>
      <c r="W42" s="9" t="str">
        <f t="shared" si="3"/>
        <v/>
      </c>
    </row>
    <row r="43" spans="1:23" ht="31.5" customHeight="1">
      <c r="A43" s="8" t="str">
        <f t="shared" si="0"/>
        <v/>
      </c>
      <c r="B43" s="9" t="str">
        <f t="array" ref="B43">IF(OR($C43="",$I43="",$J43=""),"","JSI-"&amp;IFERROR(INDEX(Referensi!$B$5:$B$14,MATCH($I43,Referensi!$A$5:$A$14,0)),"???")&amp;"-"&amp;IFERROR(INDEX(Referensi!$E$5:$E$14,MATCH($J43,Referensi!$D$5:$D$14,0)),"???")&amp;"-"&amp;TEXT(COUNTIFS($I$5:$I43,$I43,$J$5:$J43,$J43),"000"))</f>
        <v/>
      </c>
      <c r="C43" s="10"/>
      <c r="D43" s="10"/>
      <c r="E43" s="10"/>
      <c r="F43" s="10"/>
      <c r="G43" s="10"/>
      <c r="H43" s="10"/>
      <c r="I43" s="10"/>
      <c r="J43" s="11"/>
      <c r="K43" s="10"/>
      <c r="L43" s="11"/>
      <c r="M43" s="12"/>
      <c r="N43" s="12"/>
      <c r="O43" s="12"/>
      <c r="P43" s="13" t="str">
        <f t="shared" ca="1" si="1"/>
        <v/>
      </c>
      <c r="Q43" s="13" t="str">
        <f t="shared" ca="1" si="2"/>
        <v/>
      </c>
      <c r="R43" s="8" t="str">
        <f>IF($C43="","",IF($O43="","Belum ada kontak",IF($P43&gt;Referensi!$P$8,"Segera follow up",IF($P43&gt;Referensi!$P$9,"Perlu dipantau","Terkini"))))</f>
        <v/>
      </c>
      <c r="S43" s="13" t="str">
        <f>IF($C43="","",IF(OR($L43="Selesai",$L43="Batal"),0,IF($Q43="",5,IF($Q43&lt;0,50,IF($Q43&lt;=Referensi!$P$5,40,IF($Q43&lt;=Referensi!$P$6,30,IF($Q43&lt;=Referensi!$P$7,20,10)))))+IF($O43="",25,IF($P43&gt;Referensi!$P$8,30,IF($P43&gt;Referensi!$P$9,20,5)))+IF($U43="",5,IF($U43&gt;=Referensi!$P$10,20,IF($U43&gt;=Referensi!$P$11,10,5)))+IF($L43="Tertunda",15,IF(OR($L43="Negosiasi",$L43="Penawaran"),12,IF($L43="Berjalan",8,IF($L43="Prospek",5,0))))))</f>
        <v/>
      </c>
      <c r="T43" s="8" t="str">
        <f>IF($C43="","",IF(OR($L43="Selesai",$L43="Batal"),"Tidak aktif",IF($S43&gt;=Referensi!$P$12,"KRITIS",IF($S43&gt;=Referensi!$P$13,"Tinggi",IF($S43&gt;=Referensi!$P$14,"Sedang","Rendah")))))</f>
        <v/>
      </c>
      <c r="U43" s="14"/>
      <c r="V43" s="15"/>
      <c r="W43" s="9" t="str">
        <f t="shared" si="3"/>
        <v/>
      </c>
    </row>
    <row r="44" spans="1:23" ht="31.5" customHeight="1">
      <c r="A44" s="8" t="str">
        <f t="shared" si="0"/>
        <v/>
      </c>
      <c r="B44" s="9" t="str">
        <f t="array" ref="B44">IF(OR($C44="",$I44="",$J44=""),"","JSI-"&amp;IFERROR(INDEX(Referensi!$B$5:$B$14,MATCH($I44,Referensi!$A$5:$A$14,0)),"???")&amp;"-"&amp;IFERROR(INDEX(Referensi!$E$5:$E$14,MATCH($J44,Referensi!$D$5:$D$14,0)),"???")&amp;"-"&amp;TEXT(COUNTIFS($I$5:$I44,$I44,$J$5:$J44,$J44),"000"))</f>
        <v/>
      </c>
      <c r="C44" s="10"/>
      <c r="D44" s="10"/>
      <c r="E44" s="10"/>
      <c r="F44" s="10"/>
      <c r="G44" s="10"/>
      <c r="H44" s="10"/>
      <c r="I44" s="10"/>
      <c r="J44" s="11"/>
      <c r="K44" s="10"/>
      <c r="L44" s="11"/>
      <c r="M44" s="12"/>
      <c r="N44" s="12"/>
      <c r="O44" s="12"/>
      <c r="P44" s="13" t="str">
        <f t="shared" ca="1" si="1"/>
        <v/>
      </c>
      <c r="Q44" s="13" t="str">
        <f t="shared" ca="1" si="2"/>
        <v/>
      </c>
      <c r="R44" s="8" t="str">
        <f>IF($C44="","",IF($O44="","Belum ada kontak",IF($P44&gt;Referensi!$P$8,"Segera follow up",IF($P44&gt;Referensi!$P$9,"Perlu dipantau","Terkini"))))</f>
        <v/>
      </c>
      <c r="S44" s="13" t="str">
        <f>IF($C44="","",IF(OR($L44="Selesai",$L44="Batal"),0,IF($Q44="",5,IF($Q44&lt;0,50,IF($Q44&lt;=Referensi!$P$5,40,IF($Q44&lt;=Referensi!$P$6,30,IF($Q44&lt;=Referensi!$P$7,20,10)))))+IF($O44="",25,IF($P44&gt;Referensi!$P$8,30,IF($P44&gt;Referensi!$P$9,20,5)))+IF($U44="",5,IF($U44&gt;=Referensi!$P$10,20,IF($U44&gt;=Referensi!$P$11,10,5)))+IF($L44="Tertunda",15,IF(OR($L44="Negosiasi",$L44="Penawaran"),12,IF($L44="Berjalan",8,IF($L44="Prospek",5,0))))))</f>
        <v/>
      </c>
      <c r="T44" s="8" t="str">
        <f>IF($C44="","",IF(OR($L44="Selesai",$L44="Batal"),"Tidak aktif",IF($S44&gt;=Referensi!$P$12,"KRITIS",IF($S44&gt;=Referensi!$P$13,"Tinggi",IF($S44&gt;=Referensi!$P$14,"Sedang","Rendah")))))</f>
        <v/>
      </c>
      <c r="U44" s="14"/>
      <c r="V44" s="15"/>
      <c r="W44" s="9" t="str">
        <f t="shared" si="3"/>
        <v/>
      </c>
    </row>
    <row r="45" spans="1:23" ht="31.5" customHeight="1">
      <c r="A45" s="8" t="str">
        <f t="shared" si="0"/>
        <v/>
      </c>
      <c r="B45" s="9" t="str">
        <f t="array" ref="B45">IF(OR($C45="",$I45="",$J45=""),"","JSI-"&amp;IFERROR(INDEX(Referensi!$B$5:$B$14,MATCH($I45,Referensi!$A$5:$A$14,0)),"???")&amp;"-"&amp;IFERROR(INDEX(Referensi!$E$5:$E$14,MATCH($J45,Referensi!$D$5:$D$14,0)),"???")&amp;"-"&amp;TEXT(COUNTIFS($I$5:$I45,$I45,$J$5:$J45,$J45),"000"))</f>
        <v/>
      </c>
      <c r="C45" s="10"/>
      <c r="D45" s="10"/>
      <c r="E45" s="10"/>
      <c r="F45" s="10"/>
      <c r="G45" s="10"/>
      <c r="H45" s="10"/>
      <c r="I45" s="10"/>
      <c r="J45" s="11"/>
      <c r="K45" s="10"/>
      <c r="L45" s="11"/>
      <c r="M45" s="12"/>
      <c r="N45" s="12"/>
      <c r="O45" s="12"/>
      <c r="P45" s="13" t="str">
        <f t="shared" ca="1" si="1"/>
        <v/>
      </c>
      <c r="Q45" s="13" t="str">
        <f t="shared" ca="1" si="2"/>
        <v/>
      </c>
      <c r="R45" s="8" t="str">
        <f>IF($C45="","",IF($O45="","Belum ada kontak",IF($P45&gt;Referensi!$P$8,"Segera follow up",IF($P45&gt;Referensi!$P$9,"Perlu dipantau","Terkini"))))</f>
        <v/>
      </c>
      <c r="S45" s="13" t="str">
        <f>IF($C45="","",IF(OR($L45="Selesai",$L45="Batal"),0,IF($Q45="",5,IF($Q45&lt;0,50,IF($Q45&lt;=Referensi!$P$5,40,IF($Q45&lt;=Referensi!$P$6,30,IF($Q45&lt;=Referensi!$P$7,20,10)))))+IF($O45="",25,IF($P45&gt;Referensi!$P$8,30,IF($P45&gt;Referensi!$P$9,20,5)))+IF($U45="",5,IF($U45&gt;=Referensi!$P$10,20,IF($U45&gt;=Referensi!$P$11,10,5)))+IF($L45="Tertunda",15,IF(OR($L45="Negosiasi",$L45="Penawaran"),12,IF($L45="Berjalan",8,IF($L45="Prospek",5,0))))))</f>
        <v/>
      </c>
      <c r="T45" s="8" t="str">
        <f>IF($C45="","",IF(OR($L45="Selesai",$L45="Batal"),"Tidak aktif",IF($S45&gt;=Referensi!$P$12,"KRITIS",IF($S45&gt;=Referensi!$P$13,"Tinggi",IF($S45&gt;=Referensi!$P$14,"Sedang","Rendah")))))</f>
        <v/>
      </c>
      <c r="U45" s="14"/>
      <c r="V45" s="15"/>
      <c r="W45" s="9" t="str">
        <f t="shared" si="3"/>
        <v/>
      </c>
    </row>
    <row r="46" spans="1:23" ht="31.5" customHeight="1">
      <c r="A46" s="8" t="str">
        <f t="shared" si="0"/>
        <v/>
      </c>
      <c r="B46" s="9" t="str">
        <f t="array" ref="B46">IF(OR($C46="",$I46="",$J46=""),"","JSI-"&amp;IFERROR(INDEX(Referensi!$B$5:$B$14,MATCH($I46,Referensi!$A$5:$A$14,0)),"???")&amp;"-"&amp;IFERROR(INDEX(Referensi!$E$5:$E$14,MATCH($J46,Referensi!$D$5:$D$14,0)),"???")&amp;"-"&amp;TEXT(COUNTIFS($I$5:$I46,$I46,$J$5:$J46,$J46),"000"))</f>
        <v/>
      </c>
      <c r="C46" s="10"/>
      <c r="D46" s="10"/>
      <c r="E46" s="10"/>
      <c r="F46" s="10"/>
      <c r="G46" s="10"/>
      <c r="H46" s="10"/>
      <c r="I46" s="10"/>
      <c r="J46" s="11"/>
      <c r="K46" s="10"/>
      <c r="L46" s="11"/>
      <c r="M46" s="12"/>
      <c r="N46" s="12"/>
      <c r="O46" s="12"/>
      <c r="P46" s="13" t="str">
        <f t="shared" ca="1" si="1"/>
        <v/>
      </c>
      <c r="Q46" s="13" t="str">
        <f t="shared" ca="1" si="2"/>
        <v/>
      </c>
      <c r="R46" s="8" t="str">
        <f>IF($C46="","",IF($O46="","Belum ada kontak",IF($P46&gt;Referensi!$P$8,"Segera follow up",IF($P46&gt;Referensi!$P$9,"Perlu dipantau","Terkini"))))</f>
        <v/>
      </c>
      <c r="S46" s="13" t="str">
        <f>IF($C46="","",IF(OR($L46="Selesai",$L46="Batal"),0,IF($Q46="",5,IF($Q46&lt;0,50,IF($Q46&lt;=Referensi!$P$5,40,IF($Q46&lt;=Referensi!$P$6,30,IF($Q46&lt;=Referensi!$P$7,20,10)))))+IF($O46="",25,IF($P46&gt;Referensi!$P$8,30,IF($P46&gt;Referensi!$P$9,20,5)))+IF($U46="",5,IF($U46&gt;=Referensi!$P$10,20,IF($U46&gt;=Referensi!$P$11,10,5)))+IF($L46="Tertunda",15,IF(OR($L46="Negosiasi",$L46="Penawaran"),12,IF($L46="Berjalan",8,IF($L46="Prospek",5,0))))))</f>
        <v/>
      </c>
      <c r="T46" s="8" t="str">
        <f>IF($C46="","",IF(OR($L46="Selesai",$L46="Batal"),"Tidak aktif",IF($S46&gt;=Referensi!$P$12,"KRITIS",IF($S46&gt;=Referensi!$P$13,"Tinggi",IF($S46&gt;=Referensi!$P$14,"Sedang","Rendah")))))</f>
        <v/>
      </c>
      <c r="U46" s="14"/>
      <c r="V46" s="15"/>
      <c r="W46" s="9" t="str">
        <f t="shared" si="3"/>
        <v/>
      </c>
    </row>
    <row r="47" spans="1:23" ht="31.5" customHeight="1">
      <c r="A47" s="8" t="str">
        <f t="shared" si="0"/>
        <v/>
      </c>
      <c r="B47" s="9" t="str">
        <f t="array" ref="B47">IF(OR($C47="",$I47="",$J47=""),"","JSI-"&amp;IFERROR(INDEX(Referensi!$B$5:$B$14,MATCH($I47,Referensi!$A$5:$A$14,0)),"???")&amp;"-"&amp;IFERROR(INDEX(Referensi!$E$5:$E$14,MATCH($J47,Referensi!$D$5:$D$14,0)),"???")&amp;"-"&amp;TEXT(COUNTIFS($I$5:$I47,$I47,$J$5:$J47,$J47),"000"))</f>
        <v/>
      </c>
      <c r="C47" s="10"/>
      <c r="D47" s="10"/>
      <c r="E47" s="10"/>
      <c r="F47" s="10"/>
      <c r="G47" s="10"/>
      <c r="H47" s="10"/>
      <c r="I47" s="10"/>
      <c r="J47" s="11"/>
      <c r="K47" s="10"/>
      <c r="L47" s="11"/>
      <c r="M47" s="12"/>
      <c r="N47" s="12"/>
      <c r="O47" s="12"/>
      <c r="P47" s="13" t="str">
        <f t="shared" ca="1" si="1"/>
        <v/>
      </c>
      <c r="Q47" s="13" t="str">
        <f t="shared" ca="1" si="2"/>
        <v/>
      </c>
      <c r="R47" s="8" t="str">
        <f>IF($C47="","",IF($O47="","Belum ada kontak",IF($P47&gt;Referensi!$P$8,"Segera follow up",IF($P47&gt;Referensi!$P$9,"Perlu dipantau","Terkini"))))</f>
        <v/>
      </c>
      <c r="S47" s="13" t="str">
        <f>IF($C47="","",IF(OR($L47="Selesai",$L47="Batal"),0,IF($Q47="",5,IF($Q47&lt;0,50,IF($Q47&lt;=Referensi!$P$5,40,IF($Q47&lt;=Referensi!$P$6,30,IF($Q47&lt;=Referensi!$P$7,20,10)))))+IF($O47="",25,IF($P47&gt;Referensi!$P$8,30,IF($P47&gt;Referensi!$P$9,20,5)))+IF($U47="",5,IF($U47&gt;=Referensi!$P$10,20,IF($U47&gt;=Referensi!$P$11,10,5)))+IF($L47="Tertunda",15,IF(OR($L47="Negosiasi",$L47="Penawaran"),12,IF($L47="Berjalan",8,IF($L47="Prospek",5,0))))))</f>
        <v/>
      </c>
      <c r="T47" s="8" t="str">
        <f>IF($C47="","",IF(OR($L47="Selesai",$L47="Batal"),"Tidak aktif",IF($S47&gt;=Referensi!$P$12,"KRITIS",IF($S47&gt;=Referensi!$P$13,"Tinggi",IF($S47&gt;=Referensi!$P$14,"Sedang","Rendah")))))</f>
        <v/>
      </c>
      <c r="U47" s="14"/>
      <c r="V47" s="15"/>
      <c r="W47" s="9" t="str">
        <f t="shared" si="3"/>
        <v/>
      </c>
    </row>
    <row r="48" spans="1:23" ht="31.5" customHeight="1">
      <c r="A48" s="8" t="str">
        <f t="shared" si="0"/>
        <v/>
      </c>
      <c r="B48" s="9" t="str">
        <f t="array" ref="B48">IF(OR($C48="",$I48="",$J48=""),"","JSI-"&amp;IFERROR(INDEX(Referensi!$B$5:$B$14,MATCH($I48,Referensi!$A$5:$A$14,0)),"???")&amp;"-"&amp;IFERROR(INDEX(Referensi!$E$5:$E$14,MATCH($J48,Referensi!$D$5:$D$14,0)),"???")&amp;"-"&amp;TEXT(COUNTIFS($I$5:$I48,$I48,$J$5:$J48,$J48),"000"))</f>
        <v/>
      </c>
      <c r="C48" s="10"/>
      <c r="D48" s="10"/>
      <c r="E48" s="10"/>
      <c r="F48" s="10"/>
      <c r="G48" s="10"/>
      <c r="H48" s="10"/>
      <c r="I48" s="10"/>
      <c r="J48" s="11"/>
      <c r="K48" s="10"/>
      <c r="L48" s="11"/>
      <c r="M48" s="12"/>
      <c r="N48" s="12"/>
      <c r="O48" s="12"/>
      <c r="P48" s="13" t="str">
        <f t="shared" ca="1" si="1"/>
        <v/>
      </c>
      <c r="Q48" s="13" t="str">
        <f t="shared" ca="1" si="2"/>
        <v/>
      </c>
      <c r="R48" s="8" t="str">
        <f>IF($C48="","",IF($O48="","Belum ada kontak",IF($P48&gt;Referensi!$P$8,"Segera follow up",IF($P48&gt;Referensi!$P$9,"Perlu dipantau","Terkini"))))</f>
        <v/>
      </c>
      <c r="S48" s="13" t="str">
        <f>IF($C48="","",IF(OR($L48="Selesai",$L48="Batal"),0,IF($Q48="",5,IF($Q48&lt;0,50,IF($Q48&lt;=Referensi!$P$5,40,IF($Q48&lt;=Referensi!$P$6,30,IF($Q48&lt;=Referensi!$P$7,20,10)))))+IF($O48="",25,IF($P48&gt;Referensi!$P$8,30,IF($P48&gt;Referensi!$P$9,20,5)))+IF($U48="",5,IF($U48&gt;=Referensi!$P$10,20,IF($U48&gt;=Referensi!$P$11,10,5)))+IF($L48="Tertunda",15,IF(OR($L48="Negosiasi",$L48="Penawaran"),12,IF($L48="Berjalan",8,IF($L48="Prospek",5,0))))))</f>
        <v/>
      </c>
      <c r="T48" s="8" t="str">
        <f>IF($C48="","",IF(OR($L48="Selesai",$L48="Batal"),"Tidak aktif",IF($S48&gt;=Referensi!$P$12,"KRITIS",IF($S48&gt;=Referensi!$P$13,"Tinggi",IF($S48&gt;=Referensi!$P$14,"Sedang","Rendah")))))</f>
        <v/>
      </c>
      <c r="U48" s="14"/>
      <c r="V48" s="15"/>
      <c r="W48" s="9" t="str">
        <f t="shared" si="3"/>
        <v/>
      </c>
    </row>
    <row r="49" spans="1:23" ht="31.5" customHeight="1">
      <c r="A49" s="8" t="str">
        <f t="shared" si="0"/>
        <v/>
      </c>
      <c r="B49" s="9" t="str">
        <f t="array" ref="B49">IF(OR($C49="",$I49="",$J49=""),"","JSI-"&amp;IFERROR(INDEX(Referensi!$B$5:$B$14,MATCH($I49,Referensi!$A$5:$A$14,0)),"???")&amp;"-"&amp;IFERROR(INDEX(Referensi!$E$5:$E$14,MATCH($J49,Referensi!$D$5:$D$14,0)),"???")&amp;"-"&amp;TEXT(COUNTIFS($I$5:$I49,$I49,$J$5:$J49,$J49),"000"))</f>
        <v/>
      </c>
      <c r="C49" s="10"/>
      <c r="D49" s="10"/>
      <c r="E49" s="10"/>
      <c r="F49" s="10"/>
      <c r="G49" s="10"/>
      <c r="H49" s="10"/>
      <c r="I49" s="10"/>
      <c r="J49" s="11"/>
      <c r="K49" s="10"/>
      <c r="L49" s="11"/>
      <c r="M49" s="12"/>
      <c r="N49" s="12"/>
      <c r="O49" s="12"/>
      <c r="P49" s="13" t="str">
        <f t="shared" ca="1" si="1"/>
        <v/>
      </c>
      <c r="Q49" s="13" t="str">
        <f t="shared" ca="1" si="2"/>
        <v/>
      </c>
      <c r="R49" s="8" t="str">
        <f>IF($C49="","",IF($O49="","Belum ada kontak",IF($P49&gt;Referensi!$P$8,"Segera follow up",IF($P49&gt;Referensi!$P$9,"Perlu dipantau","Terkini"))))</f>
        <v/>
      </c>
      <c r="S49" s="13" t="str">
        <f>IF($C49="","",IF(OR($L49="Selesai",$L49="Batal"),0,IF($Q49="",5,IF($Q49&lt;0,50,IF($Q49&lt;=Referensi!$P$5,40,IF($Q49&lt;=Referensi!$P$6,30,IF($Q49&lt;=Referensi!$P$7,20,10)))))+IF($O49="",25,IF($P49&gt;Referensi!$P$8,30,IF($P49&gt;Referensi!$P$9,20,5)))+IF($U49="",5,IF($U49&gt;=Referensi!$P$10,20,IF($U49&gt;=Referensi!$P$11,10,5)))+IF($L49="Tertunda",15,IF(OR($L49="Negosiasi",$L49="Penawaran"),12,IF($L49="Berjalan",8,IF($L49="Prospek",5,0))))))</f>
        <v/>
      </c>
      <c r="T49" s="8" t="str">
        <f>IF($C49="","",IF(OR($L49="Selesai",$L49="Batal"),"Tidak aktif",IF($S49&gt;=Referensi!$P$12,"KRITIS",IF($S49&gt;=Referensi!$P$13,"Tinggi",IF($S49&gt;=Referensi!$P$14,"Sedang","Rendah")))))</f>
        <v/>
      </c>
      <c r="U49" s="14"/>
      <c r="V49" s="15"/>
      <c r="W49" s="9" t="str">
        <f t="shared" si="3"/>
        <v/>
      </c>
    </row>
    <row r="50" spans="1:23" ht="31.5" customHeight="1">
      <c r="A50" s="8" t="str">
        <f t="shared" si="0"/>
        <v/>
      </c>
      <c r="B50" s="9" t="str">
        <f t="array" ref="B50">IF(OR($C50="",$I50="",$J50=""),"","JSI-"&amp;IFERROR(INDEX(Referensi!$B$5:$B$14,MATCH($I50,Referensi!$A$5:$A$14,0)),"???")&amp;"-"&amp;IFERROR(INDEX(Referensi!$E$5:$E$14,MATCH($J50,Referensi!$D$5:$D$14,0)),"???")&amp;"-"&amp;TEXT(COUNTIFS($I$5:$I50,$I50,$J$5:$J50,$J50),"000"))</f>
        <v/>
      </c>
      <c r="C50" s="10"/>
      <c r="D50" s="10"/>
      <c r="E50" s="10"/>
      <c r="F50" s="10"/>
      <c r="G50" s="10"/>
      <c r="H50" s="10"/>
      <c r="I50" s="10"/>
      <c r="J50" s="11"/>
      <c r="K50" s="10"/>
      <c r="L50" s="11"/>
      <c r="M50" s="12"/>
      <c r="N50" s="12"/>
      <c r="O50" s="12"/>
      <c r="P50" s="13" t="str">
        <f t="shared" ca="1" si="1"/>
        <v/>
      </c>
      <c r="Q50" s="13" t="str">
        <f t="shared" ca="1" si="2"/>
        <v/>
      </c>
      <c r="R50" s="8" t="str">
        <f>IF($C50="","",IF($O50="","Belum ada kontak",IF($P50&gt;Referensi!$P$8,"Segera follow up",IF($P50&gt;Referensi!$P$9,"Perlu dipantau","Terkini"))))</f>
        <v/>
      </c>
      <c r="S50" s="13" t="str">
        <f>IF($C50="","",IF(OR($L50="Selesai",$L50="Batal"),0,IF($Q50="",5,IF($Q50&lt;0,50,IF($Q50&lt;=Referensi!$P$5,40,IF($Q50&lt;=Referensi!$P$6,30,IF($Q50&lt;=Referensi!$P$7,20,10)))))+IF($O50="",25,IF($P50&gt;Referensi!$P$8,30,IF($P50&gt;Referensi!$P$9,20,5)))+IF($U50="",5,IF($U50&gt;=Referensi!$P$10,20,IF($U50&gt;=Referensi!$P$11,10,5)))+IF($L50="Tertunda",15,IF(OR($L50="Negosiasi",$L50="Penawaran"),12,IF($L50="Berjalan",8,IF($L50="Prospek",5,0))))))</f>
        <v/>
      </c>
      <c r="T50" s="8" t="str">
        <f>IF($C50="","",IF(OR($L50="Selesai",$L50="Batal"),"Tidak aktif",IF($S50&gt;=Referensi!$P$12,"KRITIS",IF($S50&gt;=Referensi!$P$13,"Tinggi",IF($S50&gt;=Referensi!$P$14,"Sedang","Rendah")))))</f>
        <v/>
      </c>
      <c r="U50" s="14"/>
      <c r="V50" s="15"/>
      <c r="W50" s="9" t="str">
        <f t="shared" si="3"/>
        <v/>
      </c>
    </row>
    <row r="51" spans="1:23" ht="31.5" customHeight="1">
      <c r="A51" s="8" t="str">
        <f t="shared" si="0"/>
        <v/>
      </c>
      <c r="B51" s="9" t="str">
        <f t="array" ref="B51">IF(OR($C51="",$I51="",$J51=""),"","JSI-"&amp;IFERROR(INDEX(Referensi!$B$5:$B$14,MATCH($I51,Referensi!$A$5:$A$14,0)),"???")&amp;"-"&amp;IFERROR(INDEX(Referensi!$E$5:$E$14,MATCH($J51,Referensi!$D$5:$D$14,0)),"???")&amp;"-"&amp;TEXT(COUNTIFS($I$5:$I51,$I51,$J$5:$J51,$J51),"000"))</f>
        <v/>
      </c>
      <c r="C51" s="10"/>
      <c r="D51" s="10"/>
      <c r="E51" s="10"/>
      <c r="F51" s="10"/>
      <c r="G51" s="10"/>
      <c r="H51" s="10"/>
      <c r="I51" s="10"/>
      <c r="J51" s="11"/>
      <c r="K51" s="10"/>
      <c r="L51" s="11"/>
      <c r="M51" s="12"/>
      <c r="N51" s="12"/>
      <c r="O51" s="12"/>
      <c r="P51" s="13" t="str">
        <f t="shared" ca="1" si="1"/>
        <v/>
      </c>
      <c r="Q51" s="13" t="str">
        <f t="shared" ca="1" si="2"/>
        <v/>
      </c>
      <c r="R51" s="8" t="str">
        <f>IF($C51="","",IF($O51="","Belum ada kontak",IF($P51&gt;Referensi!$P$8,"Segera follow up",IF($P51&gt;Referensi!$P$9,"Perlu dipantau","Terkini"))))</f>
        <v/>
      </c>
      <c r="S51" s="13" t="str">
        <f>IF($C51="","",IF(OR($L51="Selesai",$L51="Batal"),0,IF($Q51="",5,IF($Q51&lt;0,50,IF($Q51&lt;=Referensi!$P$5,40,IF($Q51&lt;=Referensi!$P$6,30,IF($Q51&lt;=Referensi!$P$7,20,10)))))+IF($O51="",25,IF($P51&gt;Referensi!$P$8,30,IF($P51&gt;Referensi!$P$9,20,5)))+IF($U51="",5,IF($U51&gt;=Referensi!$P$10,20,IF($U51&gt;=Referensi!$P$11,10,5)))+IF($L51="Tertunda",15,IF(OR($L51="Negosiasi",$L51="Penawaran"),12,IF($L51="Berjalan",8,IF($L51="Prospek",5,0))))))</f>
        <v/>
      </c>
      <c r="T51" s="8" t="str">
        <f>IF($C51="","",IF(OR($L51="Selesai",$L51="Batal"),"Tidak aktif",IF($S51&gt;=Referensi!$P$12,"KRITIS",IF($S51&gt;=Referensi!$P$13,"Tinggi",IF($S51&gt;=Referensi!$P$14,"Sedang","Rendah")))))</f>
        <v/>
      </c>
      <c r="U51" s="14"/>
      <c r="V51" s="15"/>
      <c r="W51" s="9" t="str">
        <f t="shared" si="3"/>
        <v/>
      </c>
    </row>
    <row r="52" spans="1:23" ht="31.5" customHeight="1">
      <c r="A52" s="8" t="str">
        <f t="shared" si="0"/>
        <v/>
      </c>
      <c r="B52" s="9" t="str">
        <f t="array" ref="B52">IF(OR($C52="",$I52="",$J52=""),"","JSI-"&amp;IFERROR(INDEX(Referensi!$B$5:$B$14,MATCH($I52,Referensi!$A$5:$A$14,0)),"???")&amp;"-"&amp;IFERROR(INDEX(Referensi!$E$5:$E$14,MATCH($J52,Referensi!$D$5:$D$14,0)),"???")&amp;"-"&amp;TEXT(COUNTIFS($I$5:$I52,$I52,$J$5:$J52,$J52),"000"))</f>
        <v/>
      </c>
      <c r="C52" s="10"/>
      <c r="D52" s="10"/>
      <c r="E52" s="10"/>
      <c r="F52" s="10"/>
      <c r="G52" s="10"/>
      <c r="H52" s="10"/>
      <c r="I52" s="10"/>
      <c r="J52" s="11"/>
      <c r="K52" s="10"/>
      <c r="L52" s="11"/>
      <c r="M52" s="12"/>
      <c r="N52" s="12"/>
      <c r="O52" s="12"/>
      <c r="P52" s="13" t="str">
        <f t="shared" ca="1" si="1"/>
        <v/>
      </c>
      <c r="Q52" s="13" t="str">
        <f t="shared" ca="1" si="2"/>
        <v/>
      </c>
      <c r="R52" s="8" t="str">
        <f>IF($C52="","",IF($O52="","Belum ada kontak",IF($P52&gt;Referensi!$P$8,"Segera follow up",IF($P52&gt;Referensi!$P$9,"Perlu dipantau","Terkini"))))</f>
        <v/>
      </c>
      <c r="S52" s="13" t="str">
        <f>IF($C52="","",IF(OR($L52="Selesai",$L52="Batal"),0,IF($Q52="",5,IF($Q52&lt;0,50,IF($Q52&lt;=Referensi!$P$5,40,IF($Q52&lt;=Referensi!$P$6,30,IF($Q52&lt;=Referensi!$P$7,20,10)))))+IF($O52="",25,IF($P52&gt;Referensi!$P$8,30,IF($P52&gt;Referensi!$P$9,20,5)))+IF($U52="",5,IF($U52&gt;=Referensi!$P$10,20,IF($U52&gt;=Referensi!$P$11,10,5)))+IF($L52="Tertunda",15,IF(OR($L52="Negosiasi",$L52="Penawaran"),12,IF($L52="Berjalan",8,IF($L52="Prospek",5,0))))))</f>
        <v/>
      </c>
      <c r="T52" s="8" t="str">
        <f>IF($C52="","",IF(OR($L52="Selesai",$L52="Batal"),"Tidak aktif",IF($S52&gt;=Referensi!$P$12,"KRITIS",IF($S52&gt;=Referensi!$P$13,"Tinggi",IF($S52&gt;=Referensi!$P$14,"Sedang","Rendah")))))</f>
        <v/>
      </c>
      <c r="U52" s="14"/>
      <c r="V52" s="15"/>
      <c r="W52" s="9" t="str">
        <f t="shared" si="3"/>
        <v/>
      </c>
    </row>
    <row r="53" spans="1:23" ht="31.5" customHeight="1">
      <c r="A53" s="8" t="str">
        <f t="shared" si="0"/>
        <v/>
      </c>
      <c r="B53" s="9" t="str">
        <f t="array" ref="B53">IF(OR($C53="",$I53="",$J53=""),"","JSI-"&amp;IFERROR(INDEX(Referensi!$B$5:$B$14,MATCH($I53,Referensi!$A$5:$A$14,0)),"???")&amp;"-"&amp;IFERROR(INDEX(Referensi!$E$5:$E$14,MATCH($J53,Referensi!$D$5:$D$14,0)),"???")&amp;"-"&amp;TEXT(COUNTIFS($I$5:$I53,$I53,$J$5:$J53,$J53),"000"))</f>
        <v/>
      </c>
      <c r="C53" s="10"/>
      <c r="D53" s="10"/>
      <c r="E53" s="10"/>
      <c r="F53" s="10"/>
      <c r="G53" s="10"/>
      <c r="H53" s="10"/>
      <c r="I53" s="10"/>
      <c r="J53" s="11"/>
      <c r="K53" s="10"/>
      <c r="L53" s="11"/>
      <c r="M53" s="12"/>
      <c r="N53" s="12"/>
      <c r="O53" s="12"/>
      <c r="P53" s="13" t="str">
        <f t="shared" ca="1" si="1"/>
        <v/>
      </c>
      <c r="Q53" s="13" t="str">
        <f t="shared" ca="1" si="2"/>
        <v/>
      </c>
      <c r="R53" s="8" t="str">
        <f>IF($C53="","",IF($O53="","Belum ada kontak",IF($P53&gt;Referensi!$P$8,"Segera follow up",IF($P53&gt;Referensi!$P$9,"Perlu dipantau","Terkini"))))</f>
        <v/>
      </c>
      <c r="S53" s="13" t="str">
        <f>IF($C53="","",IF(OR($L53="Selesai",$L53="Batal"),0,IF($Q53="",5,IF($Q53&lt;0,50,IF($Q53&lt;=Referensi!$P$5,40,IF($Q53&lt;=Referensi!$P$6,30,IF($Q53&lt;=Referensi!$P$7,20,10)))))+IF($O53="",25,IF($P53&gt;Referensi!$P$8,30,IF($P53&gt;Referensi!$P$9,20,5)))+IF($U53="",5,IF($U53&gt;=Referensi!$P$10,20,IF($U53&gt;=Referensi!$P$11,10,5)))+IF($L53="Tertunda",15,IF(OR($L53="Negosiasi",$L53="Penawaran"),12,IF($L53="Berjalan",8,IF($L53="Prospek",5,0))))))</f>
        <v/>
      </c>
      <c r="T53" s="8" t="str">
        <f>IF($C53="","",IF(OR($L53="Selesai",$L53="Batal"),"Tidak aktif",IF($S53&gt;=Referensi!$P$12,"KRITIS",IF($S53&gt;=Referensi!$P$13,"Tinggi",IF($S53&gt;=Referensi!$P$14,"Sedang","Rendah")))))</f>
        <v/>
      </c>
      <c r="U53" s="14"/>
      <c r="V53" s="15"/>
      <c r="W53" s="9" t="str">
        <f t="shared" si="3"/>
        <v/>
      </c>
    </row>
    <row r="54" spans="1:23" ht="31.5" customHeight="1">
      <c r="A54" s="8" t="str">
        <f t="shared" si="0"/>
        <v/>
      </c>
      <c r="B54" s="9" t="str">
        <f t="array" ref="B54">IF(OR($C54="",$I54="",$J54=""),"","JSI-"&amp;IFERROR(INDEX(Referensi!$B$5:$B$14,MATCH($I54,Referensi!$A$5:$A$14,0)),"???")&amp;"-"&amp;IFERROR(INDEX(Referensi!$E$5:$E$14,MATCH($J54,Referensi!$D$5:$D$14,0)),"???")&amp;"-"&amp;TEXT(COUNTIFS($I$5:$I54,$I54,$J$5:$J54,$J54),"000"))</f>
        <v/>
      </c>
      <c r="C54" s="10"/>
      <c r="D54" s="10"/>
      <c r="E54" s="10"/>
      <c r="F54" s="10"/>
      <c r="G54" s="10"/>
      <c r="H54" s="10"/>
      <c r="I54" s="10"/>
      <c r="J54" s="11"/>
      <c r="K54" s="10"/>
      <c r="L54" s="11"/>
      <c r="M54" s="12"/>
      <c r="N54" s="12"/>
      <c r="O54" s="12"/>
      <c r="P54" s="13" t="str">
        <f t="shared" ca="1" si="1"/>
        <v/>
      </c>
      <c r="Q54" s="13" t="str">
        <f t="shared" ca="1" si="2"/>
        <v/>
      </c>
      <c r="R54" s="8" t="str">
        <f>IF($C54="","",IF($O54="","Belum ada kontak",IF($P54&gt;Referensi!$P$8,"Segera follow up",IF($P54&gt;Referensi!$P$9,"Perlu dipantau","Terkini"))))</f>
        <v/>
      </c>
      <c r="S54" s="13" t="str">
        <f>IF($C54="","",IF(OR($L54="Selesai",$L54="Batal"),0,IF($Q54="",5,IF($Q54&lt;0,50,IF($Q54&lt;=Referensi!$P$5,40,IF($Q54&lt;=Referensi!$P$6,30,IF($Q54&lt;=Referensi!$P$7,20,10)))))+IF($O54="",25,IF($P54&gt;Referensi!$P$8,30,IF($P54&gt;Referensi!$P$9,20,5)))+IF($U54="",5,IF($U54&gt;=Referensi!$P$10,20,IF($U54&gt;=Referensi!$P$11,10,5)))+IF($L54="Tertunda",15,IF(OR($L54="Negosiasi",$L54="Penawaran"),12,IF($L54="Berjalan",8,IF($L54="Prospek",5,0))))))</f>
        <v/>
      </c>
      <c r="T54" s="8" t="str">
        <f>IF($C54="","",IF(OR($L54="Selesai",$L54="Batal"),"Tidak aktif",IF($S54&gt;=Referensi!$P$12,"KRITIS",IF($S54&gt;=Referensi!$P$13,"Tinggi",IF($S54&gt;=Referensi!$P$14,"Sedang","Rendah")))))</f>
        <v/>
      </c>
      <c r="U54" s="14"/>
      <c r="V54" s="15"/>
      <c r="W54" s="9" t="str">
        <f t="shared" si="3"/>
        <v/>
      </c>
    </row>
    <row r="55" spans="1:23" ht="31.5" customHeight="1">
      <c r="A55" s="8" t="str">
        <f t="shared" si="0"/>
        <v/>
      </c>
      <c r="B55" s="9" t="str">
        <f t="array" ref="B55">IF(OR($C55="",$I55="",$J55=""),"","JSI-"&amp;IFERROR(INDEX(Referensi!$B$5:$B$14,MATCH($I55,Referensi!$A$5:$A$14,0)),"???")&amp;"-"&amp;IFERROR(INDEX(Referensi!$E$5:$E$14,MATCH($J55,Referensi!$D$5:$D$14,0)),"???")&amp;"-"&amp;TEXT(COUNTIFS($I$5:$I55,$I55,$J$5:$J55,$J55),"000"))</f>
        <v/>
      </c>
      <c r="C55" s="10"/>
      <c r="D55" s="10"/>
      <c r="E55" s="10"/>
      <c r="F55" s="10"/>
      <c r="G55" s="10"/>
      <c r="H55" s="10"/>
      <c r="I55" s="10"/>
      <c r="J55" s="11"/>
      <c r="K55" s="10"/>
      <c r="L55" s="11"/>
      <c r="M55" s="12"/>
      <c r="N55" s="12"/>
      <c r="O55" s="12"/>
      <c r="P55" s="13" t="str">
        <f t="shared" ca="1" si="1"/>
        <v/>
      </c>
      <c r="Q55" s="13" t="str">
        <f t="shared" ca="1" si="2"/>
        <v/>
      </c>
      <c r="R55" s="8" t="str">
        <f>IF($C55="","",IF($O55="","Belum ada kontak",IF($P55&gt;Referensi!$P$8,"Segera follow up",IF($P55&gt;Referensi!$P$9,"Perlu dipantau","Terkini"))))</f>
        <v/>
      </c>
      <c r="S55" s="13" t="str">
        <f>IF($C55="","",IF(OR($L55="Selesai",$L55="Batal"),0,IF($Q55="",5,IF($Q55&lt;0,50,IF($Q55&lt;=Referensi!$P$5,40,IF($Q55&lt;=Referensi!$P$6,30,IF($Q55&lt;=Referensi!$P$7,20,10)))))+IF($O55="",25,IF($P55&gt;Referensi!$P$8,30,IF($P55&gt;Referensi!$P$9,20,5)))+IF($U55="",5,IF($U55&gt;=Referensi!$P$10,20,IF($U55&gt;=Referensi!$P$11,10,5)))+IF($L55="Tertunda",15,IF(OR($L55="Negosiasi",$L55="Penawaran"),12,IF($L55="Berjalan",8,IF($L55="Prospek",5,0))))))</f>
        <v/>
      </c>
      <c r="T55" s="8" t="str">
        <f>IF($C55="","",IF(OR($L55="Selesai",$L55="Batal"),"Tidak aktif",IF($S55&gt;=Referensi!$P$12,"KRITIS",IF($S55&gt;=Referensi!$P$13,"Tinggi",IF($S55&gt;=Referensi!$P$14,"Sedang","Rendah")))))</f>
        <v/>
      </c>
      <c r="U55" s="14"/>
      <c r="V55" s="15"/>
      <c r="W55" s="9" t="str">
        <f t="shared" si="3"/>
        <v/>
      </c>
    </row>
    <row r="56" spans="1:23" ht="31.5" customHeight="1">
      <c r="A56" s="8" t="str">
        <f t="shared" si="0"/>
        <v/>
      </c>
      <c r="B56" s="9" t="str">
        <f t="array" ref="B56">IF(OR($C56="",$I56="",$J56=""),"","JSI-"&amp;IFERROR(INDEX(Referensi!$B$5:$B$14,MATCH($I56,Referensi!$A$5:$A$14,0)),"???")&amp;"-"&amp;IFERROR(INDEX(Referensi!$E$5:$E$14,MATCH($J56,Referensi!$D$5:$D$14,0)),"???")&amp;"-"&amp;TEXT(COUNTIFS($I$5:$I56,$I56,$J$5:$J56,$J56),"000"))</f>
        <v/>
      </c>
      <c r="C56" s="10"/>
      <c r="D56" s="10"/>
      <c r="E56" s="10"/>
      <c r="F56" s="10"/>
      <c r="G56" s="10"/>
      <c r="H56" s="10"/>
      <c r="I56" s="10"/>
      <c r="J56" s="11"/>
      <c r="K56" s="10"/>
      <c r="L56" s="11"/>
      <c r="M56" s="12"/>
      <c r="N56" s="12"/>
      <c r="O56" s="12"/>
      <c r="P56" s="13" t="str">
        <f t="shared" ca="1" si="1"/>
        <v/>
      </c>
      <c r="Q56" s="13" t="str">
        <f t="shared" ca="1" si="2"/>
        <v/>
      </c>
      <c r="R56" s="8" t="str">
        <f>IF($C56="","",IF($O56="","Belum ada kontak",IF($P56&gt;Referensi!$P$8,"Segera follow up",IF($P56&gt;Referensi!$P$9,"Perlu dipantau","Terkini"))))</f>
        <v/>
      </c>
      <c r="S56" s="13" t="str">
        <f>IF($C56="","",IF(OR($L56="Selesai",$L56="Batal"),0,IF($Q56="",5,IF($Q56&lt;0,50,IF($Q56&lt;=Referensi!$P$5,40,IF($Q56&lt;=Referensi!$P$6,30,IF($Q56&lt;=Referensi!$P$7,20,10)))))+IF($O56="",25,IF($P56&gt;Referensi!$P$8,30,IF($P56&gt;Referensi!$P$9,20,5)))+IF($U56="",5,IF($U56&gt;=Referensi!$P$10,20,IF($U56&gt;=Referensi!$P$11,10,5)))+IF($L56="Tertunda",15,IF(OR($L56="Negosiasi",$L56="Penawaran"),12,IF($L56="Berjalan",8,IF($L56="Prospek",5,0))))))</f>
        <v/>
      </c>
      <c r="T56" s="8" t="str">
        <f>IF($C56="","",IF(OR($L56="Selesai",$L56="Batal"),"Tidak aktif",IF($S56&gt;=Referensi!$P$12,"KRITIS",IF($S56&gt;=Referensi!$P$13,"Tinggi",IF($S56&gt;=Referensi!$P$14,"Sedang","Rendah")))))</f>
        <v/>
      </c>
      <c r="U56" s="14"/>
      <c r="V56" s="15"/>
      <c r="W56" s="9" t="str">
        <f t="shared" si="3"/>
        <v/>
      </c>
    </row>
    <row r="57" spans="1:23" ht="31.5" customHeight="1">
      <c r="A57" s="8" t="str">
        <f t="shared" si="0"/>
        <v/>
      </c>
      <c r="B57" s="9" t="str">
        <f t="array" ref="B57">IF(OR($C57="",$I57="",$J57=""),"","JSI-"&amp;IFERROR(INDEX(Referensi!$B$5:$B$14,MATCH($I57,Referensi!$A$5:$A$14,0)),"???")&amp;"-"&amp;IFERROR(INDEX(Referensi!$E$5:$E$14,MATCH($J57,Referensi!$D$5:$D$14,0)),"???")&amp;"-"&amp;TEXT(COUNTIFS($I$5:$I57,$I57,$J$5:$J57,$J57),"000"))</f>
        <v/>
      </c>
      <c r="C57" s="10"/>
      <c r="D57" s="10"/>
      <c r="E57" s="10"/>
      <c r="F57" s="10"/>
      <c r="G57" s="10"/>
      <c r="H57" s="10"/>
      <c r="I57" s="10"/>
      <c r="J57" s="11"/>
      <c r="K57" s="10"/>
      <c r="L57" s="11"/>
      <c r="M57" s="12"/>
      <c r="N57" s="12"/>
      <c r="O57" s="12"/>
      <c r="P57" s="13" t="str">
        <f t="shared" ca="1" si="1"/>
        <v/>
      </c>
      <c r="Q57" s="13" t="str">
        <f t="shared" ca="1" si="2"/>
        <v/>
      </c>
      <c r="R57" s="8" t="str">
        <f>IF($C57="","",IF($O57="","Belum ada kontak",IF($P57&gt;Referensi!$P$8,"Segera follow up",IF($P57&gt;Referensi!$P$9,"Perlu dipantau","Terkini"))))</f>
        <v/>
      </c>
      <c r="S57" s="13" t="str">
        <f>IF($C57="","",IF(OR($L57="Selesai",$L57="Batal"),0,IF($Q57="",5,IF($Q57&lt;0,50,IF($Q57&lt;=Referensi!$P$5,40,IF($Q57&lt;=Referensi!$P$6,30,IF($Q57&lt;=Referensi!$P$7,20,10)))))+IF($O57="",25,IF($P57&gt;Referensi!$P$8,30,IF($P57&gt;Referensi!$P$9,20,5)))+IF($U57="",5,IF($U57&gt;=Referensi!$P$10,20,IF($U57&gt;=Referensi!$P$11,10,5)))+IF($L57="Tertunda",15,IF(OR($L57="Negosiasi",$L57="Penawaran"),12,IF($L57="Berjalan",8,IF($L57="Prospek",5,0))))))</f>
        <v/>
      </c>
      <c r="T57" s="8" t="str">
        <f>IF($C57="","",IF(OR($L57="Selesai",$L57="Batal"),"Tidak aktif",IF($S57&gt;=Referensi!$P$12,"KRITIS",IF($S57&gt;=Referensi!$P$13,"Tinggi",IF($S57&gt;=Referensi!$P$14,"Sedang","Rendah")))))</f>
        <v/>
      </c>
      <c r="U57" s="14"/>
      <c r="V57" s="15"/>
      <c r="W57" s="9" t="str">
        <f t="shared" si="3"/>
        <v/>
      </c>
    </row>
    <row r="58" spans="1:23" ht="31.5" customHeight="1">
      <c r="A58" s="8" t="str">
        <f t="shared" si="0"/>
        <v/>
      </c>
      <c r="B58" s="9" t="str">
        <f t="array" ref="B58">IF(OR($C58="",$I58="",$J58=""),"","JSI-"&amp;IFERROR(INDEX(Referensi!$B$5:$B$14,MATCH($I58,Referensi!$A$5:$A$14,0)),"???")&amp;"-"&amp;IFERROR(INDEX(Referensi!$E$5:$E$14,MATCH($J58,Referensi!$D$5:$D$14,0)),"???")&amp;"-"&amp;TEXT(COUNTIFS($I$5:$I58,$I58,$J$5:$J58,$J58),"000"))</f>
        <v/>
      </c>
      <c r="C58" s="10"/>
      <c r="D58" s="10"/>
      <c r="E58" s="10"/>
      <c r="F58" s="10"/>
      <c r="G58" s="10"/>
      <c r="H58" s="10"/>
      <c r="I58" s="10"/>
      <c r="J58" s="11"/>
      <c r="K58" s="10"/>
      <c r="L58" s="11"/>
      <c r="M58" s="12"/>
      <c r="N58" s="12"/>
      <c r="O58" s="12"/>
      <c r="P58" s="13" t="str">
        <f t="shared" ca="1" si="1"/>
        <v/>
      </c>
      <c r="Q58" s="13" t="str">
        <f t="shared" ca="1" si="2"/>
        <v/>
      </c>
      <c r="R58" s="8" t="str">
        <f>IF($C58="","",IF($O58="","Belum ada kontak",IF($P58&gt;Referensi!$P$8,"Segera follow up",IF($P58&gt;Referensi!$P$9,"Perlu dipantau","Terkini"))))</f>
        <v/>
      </c>
      <c r="S58" s="13" t="str">
        <f>IF($C58="","",IF(OR($L58="Selesai",$L58="Batal"),0,IF($Q58="",5,IF($Q58&lt;0,50,IF($Q58&lt;=Referensi!$P$5,40,IF($Q58&lt;=Referensi!$P$6,30,IF($Q58&lt;=Referensi!$P$7,20,10)))))+IF($O58="",25,IF($P58&gt;Referensi!$P$8,30,IF($P58&gt;Referensi!$P$9,20,5)))+IF($U58="",5,IF($U58&gt;=Referensi!$P$10,20,IF($U58&gt;=Referensi!$P$11,10,5)))+IF($L58="Tertunda",15,IF(OR($L58="Negosiasi",$L58="Penawaran"),12,IF($L58="Berjalan",8,IF($L58="Prospek",5,0))))))</f>
        <v/>
      </c>
      <c r="T58" s="8" t="str">
        <f>IF($C58="","",IF(OR($L58="Selesai",$L58="Batal"),"Tidak aktif",IF($S58&gt;=Referensi!$P$12,"KRITIS",IF($S58&gt;=Referensi!$P$13,"Tinggi",IF($S58&gt;=Referensi!$P$14,"Sedang","Rendah")))))</f>
        <v/>
      </c>
      <c r="U58" s="14"/>
      <c r="V58" s="15"/>
      <c r="W58" s="9" t="str">
        <f t="shared" si="3"/>
        <v/>
      </c>
    </row>
    <row r="59" spans="1:23" ht="31.5" customHeight="1">
      <c r="A59" s="8" t="str">
        <f t="shared" si="0"/>
        <v/>
      </c>
      <c r="B59" s="9" t="str">
        <f t="array" ref="B59">IF(OR($C59="",$I59="",$J59=""),"","JSI-"&amp;IFERROR(INDEX(Referensi!$B$5:$B$14,MATCH($I59,Referensi!$A$5:$A$14,0)),"???")&amp;"-"&amp;IFERROR(INDEX(Referensi!$E$5:$E$14,MATCH($J59,Referensi!$D$5:$D$14,0)),"???")&amp;"-"&amp;TEXT(COUNTIFS($I$5:$I59,$I59,$J$5:$J59,$J59),"000"))</f>
        <v/>
      </c>
      <c r="C59" s="10"/>
      <c r="D59" s="10"/>
      <c r="E59" s="10"/>
      <c r="F59" s="10"/>
      <c r="G59" s="10"/>
      <c r="H59" s="10"/>
      <c r="I59" s="10"/>
      <c r="J59" s="11"/>
      <c r="K59" s="10"/>
      <c r="L59" s="11"/>
      <c r="M59" s="12"/>
      <c r="N59" s="12"/>
      <c r="O59" s="12"/>
      <c r="P59" s="13" t="str">
        <f t="shared" ca="1" si="1"/>
        <v/>
      </c>
      <c r="Q59" s="13" t="str">
        <f t="shared" ca="1" si="2"/>
        <v/>
      </c>
      <c r="R59" s="8" t="str">
        <f>IF($C59="","",IF($O59="","Belum ada kontak",IF($P59&gt;Referensi!$P$8,"Segera follow up",IF($P59&gt;Referensi!$P$9,"Perlu dipantau","Terkini"))))</f>
        <v/>
      </c>
      <c r="S59" s="13" t="str">
        <f>IF($C59="","",IF(OR($L59="Selesai",$L59="Batal"),0,IF($Q59="",5,IF($Q59&lt;0,50,IF($Q59&lt;=Referensi!$P$5,40,IF($Q59&lt;=Referensi!$P$6,30,IF($Q59&lt;=Referensi!$P$7,20,10)))))+IF($O59="",25,IF($P59&gt;Referensi!$P$8,30,IF($P59&gt;Referensi!$P$9,20,5)))+IF($U59="",5,IF($U59&gt;=Referensi!$P$10,20,IF($U59&gt;=Referensi!$P$11,10,5)))+IF($L59="Tertunda",15,IF(OR($L59="Negosiasi",$L59="Penawaran"),12,IF($L59="Berjalan",8,IF($L59="Prospek",5,0))))))</f>
        <v/>
      </c>
      <c r="T59" s="8" t="str">
        <f>IF($C59="","",IF(OR($L59="Selesai",$L59="Batal"),"Tidak aktif",IF($S59&gt;=Referensi!$P$12,"KRITIS",IF($S59&gt;=Referensi!$P$13,"Tinggi",IF($S59&gt;=Referensi!$P$14,"Sedang","Rendah")))))</f>
        <v/>
      </c>
      <c r="U59" s="14"/>
      <c r="V59" s="15"/>
      <c r="W59" s="9" t="str">
        <f t="shared" si="3"/>
        <v/>
      </c>
    </row>
    <row r="60" spans="1:23" ht="31.5" customHeight="1">
      <c r="A60" s="8" t="str">
        <f t="shared" si="0"/>
        <v/>
      </c>
      <c r="B60" s="9" t="str">
        <f t="array" ref="B60">IF(OR($C60="",$I60="",$J60=""),"","JSI-"&amp;IFERROR(INDEX(Referensi!$B$5:$B$14,MATCH($I60,Referensi!$A$5:$A$14,0)),"???")&amp;"-"&amp;IFERROR(INDEX(Referensi!$E$5:$E$14,MATCH($J60,Referensi!$D$5:$D$14,0)),"???")&amp;"-"&amp;TEXT(COUNTIFS($I$5:$I60,$I60,$J$5:$J60,$J60),"000"))</f>
        <v/>
      </c>
      <c r="C60" s="10"/>
      <c r="D60" s="10"/>
      <c r="E60" s="10"/>
      <c r="F60" s="10"/>
      <c r="G60" s="10"/>
      <c r="H60" s="10"/>
      <c r="I60" s="10"/>
      <c r="J60" s="11"/>
      <c r="K60" s="10"/>
      <c r="L60" s="11"/>
      <c r="M60" s="12"/>
      <c r="N60" s="12"/>
      <c r="O60" s="12"/>
      <c r="P60" s="13" t="str">
        <f t="shared" ca="1" si="1"/>
        <v/>
      </c>
      <c r="Q60" s="13" t="str">
        <f t="shared" ca="1" si="2"/>
        <v/>
      </c>
      <c r="R60" s="8" t="str">
        <f>IF($C60="","",IF($O60="","Belum ada kontak",IF($P60&gt;Referensi!$P$8,"Segera follow up",IF($P60&gt;Referensi!$P$9,"Perlu dipantau","Terkini"))))</f>
        <v/>
      </c>
      <c r="S60" s="13" t="str">
        <f>IF($C60="","",IF(OR($L60="Selesai",$L60="Batal"),0,IF($Q60="",5,IF($Q60&lt;0,50,IF($Q60&lt;=Referensi!$P$5,40,IF($Q60&lt;=Referensi!$P$6,30,IF($Q60&lt;=Referensi!$P$7,20,10)))))+IF($O60="",25,IF($P60&gt;Referensi!$P$8,30,IF($P60&gt;Referensi!$P$9,20,5)))+IF($U60="",5,IF($U60&gt;=Referensi!$P$10,20,IF($U60&gt;=Referensi!$P$11,10,5)))+IF($L60="Tertunda",15,IF(OR($L60="Negosiasi",$L60="Penawaran"),12,IF($L60="Berjalan",8,IF($L60="Prospek",5,0))))))</f>
        <v/>
      </c>
      <c r="T60" s="8" t="str">
        <f>IF($C60="","",IF(OR($L60="Selesai",$L60="Batal"),"Tidak aktif",IF($S60&gt;=Referensi!$P$12,"KRITIS",IF($S60&gt;=Referensi!$P$13,"Tinggi",IF($S60&gt;=Referensi!$P$14,"Sedang","Rendah")))))</f>
        <v/>
      </c>
      <c r="U60" s="14"/>
      <c r="V60" s="15"/>
      <c r="W60" s="9" t="str">
        <f t="shared" si="3"/>
        <v/>
      </c>
    </row>
    <row r="61" spans="1:23" ht="31.5" customHeight="1">
      <c r="A61" s="8" t="str">
        <f t="shared" si="0"/>
        <v/>
      </c>
      <c r="B61" s="9" t="str">
        <f t="array" ref="B61">IF(OR($C61="",$I61="",$J61=""),"","JSI-"&amp;IFERROR(INDEX(Referensi!$B$5:$B$14,MATCH($I61,Referensi!$A$5:$A$14,0)),"???")&amp;"-"&amp;IFERROR(INDEX(Referensi!$E$5:$E$14,MATCH($J61,Referensi!$D$5:$D$14,0)),"???")&amp;"-"&amp;TEXT(COUNTIFS($I$5:$I61,$I61,$J$5:$J61,$J61),"000"))</f>
        <v/>
      </c>
      <c r="C61" s="10"/>
      <c r="D61" s="10"/>
      <c r="E61" s="10"/>
      <c r="F61" s="10"/>
      <c r="G61" s="10"/>
      <c r="H61" s="10"/>
      <c r="I61" s="10"/>
      <c r="J61" s="11"/>
      <c r="K61" s="10"/>
      <c r="L61" s="11"/>
      <c r="M61" s="12"/>
      <c r="N61" s="12"/>
      <c r="O61" s="12"/>
      <c r="P61" s="13" t="str">
        <f t="shared" ca="1" si="1"/>
        <v/>
      </c>
      <c r="Q61" s="13" t="str">
        <f t="shared" ca="1" si="2"/>
        <v/>
      </c>
      <c r="R61" s="8" t="str">
        <f>IF($C61="","",IF($O61="","Belum ada kontak",IF($P61&gt;Referensi!$P$8,"Segera follow up",IF($P61&gt;Referensi!$P$9,"Perlu dipantau","Terkini"))))</f>
        <v/>
      </c>
      <c r="S61" s="13" t="str">
        <f>IF($C61="","",IF(OR($L61="Selesai",$L61="Batal"),0,IF($Q61="",5,IF($Q61&lt;0,50,IF($Q61&lt;=Referensi!$P$5,40,IF($Q61&lt;=Referensi!$P$6,30,IF($Q61&lt;=Referensi!$P$7,20,10)))))+IF($O61="",25,IF($P61&gt;Referensi!$P$8,30,IF($P61&gt;Referensi!$P$9,20,5)))+IF($U61="",5,IF($U61&gt;=Referensi!$P$10,20,IF($U61&gt;=Referensi!$P$11,10,5)))+IF($L61="Tertunda",15,IF(OR($L61="Negosiasi",$L61="Penawaran"),12,IF($L61="Berjalan",8,IF($L61="Prospek",5,0))))))</f>
        <v/>
      </c>
      <c r="T61" s="8" t="str">
        <f>IF($C61="","",IF(OR($L61="Selesai",$L61="Batal"),"Tidak aktif",IF($S61&gt;=Referensi!$P$12,"KRITIS",IF($S61&gt;=Referensi!$P$13,"Tinggi",IF($S61&gt;=Referensi!$P$14,"Sedang","Rendah")))))</f>
        <v/>
      </c>
      <c r="U61" s="14"/>
      <c r="V61" s="15"/>
      <c r="W61" s="9" t="str">
        <f t="shared" si="3"/>
        <v/>
      </c>
    </row>
    <row r="62" spans="1:23" ht="31.5" customHeight="1">
      <c r="A62" s="8" t="str">
        <f t="shared" si="0"/>
        <v/>
      </c>
      <c r="B62" s="9" t="str">
        <f t="array" ref="B62">IF(OR($C62="",$I62="",$J62=""),"","JSI-"&amp;IFERROR(INDEX(Referensi!$B$5:$B$14,MATCH($I62,Referensi!$A$5:$A$14,0)),"???")&amp;"-"&amp;IFERROR(INDEX(Referensi!$E$5:$E$14,MATCH($J62,Referensi!$D$5:$D$14,0)),"???")&amp;"-"&amp;TEXT(COUNTIFS($I$5:$I62,$I62,$J$5:$J62,$J62),"000"))</f>
        <v/>
      </c>
      <c r="C62" s="10"/>
      <c r="D62" s="10"/>
      <c r="E62" s="10"/>
      <c r="F62" s="10"/>
      <c r="G62" s="10"/>
      <c r="H62" s="10"/>
      <c r="I62" s="10"/>
      <c r="J62" s="11"/>
      <c r="K62" s="10"/>
      <c r="L62" s="11"/>
      <c r="M62" s="12"/>
      <c r="N62" s="12"/>
      <c r="O62" s="12"/>
      <c r="P62" s="13" t="str">
        <f t="shared" ca="1" si="1"/>
        <v/>
      </c>
      <c r="Q62" s="13" t="str">
        <f t="shared" ca="1" si="2"/>
        <v/>
      </c>
      <c r="R62" s="8" t="str">
        <f>IF($C62="","",IF($O62="","Belum ada kontak",IF($P62&gt;Referensi!$P$8,"Segera follow up",IF($P62&gt;Referensi!$P$9,"Perlu dipantau","Terkini"))))</f>
        <v/>
      </c>
      <c r="S62" s="13" t="str">
        <f>IF($C62="","",IF(OR($L62="Selesai",$L62="Batal"),0,IF($Q62="",5,IF($Q62&lt;0,50,IF($Q62&lt;=Referensi!$P$5,40,IF($Q62&lt;=Referensi!$P$6,30,IF($Q62&lt;=Referensi!$P$7,20,10)))))+IF($O62="",25,IF($P62&gt;Referensi!$P$8,30,IF($P62&gt;Referensi!$P$9,20,5)))+IF($U62="",5,IF($U62&gt;=Referensi!$P$10,20,IF($U62&gt;=Referensi!$P$11,10,5)))+IF($L62="Tertunda",15,IF(OR($L62="Negosiasi",$L62="Penawaran"),12,IF($L62="Berjalan",8,IF($L62="Prospek",5,0))))))</f>
        <v/>
      </c>
      <c r="T62" s="8" t="str">
        <f>IF($C62="","",IF(OR($L62="Selesai",$L62="Batal"),"Tidak aktif",IF($S62&gt;=Referensi!$P$12,"KRITIS",IF($S62&gt;=Referensi!$P$13,"Tinggi",IF($S62&gt;=Referensi!$P$14,"Sedang","Rendah")))))</f>
        <v/>
      </c>
      <c r="U62" s="14"/>
      <c r="V62" s="15"/>
      <c r="W62" s="9" t="str">
        <f t="shared" si="3"/>
        <v/>
      </c>
    </row>
    <row r="63" spans="1:23" ht="31.5" customHeight="1">
      <c r="A63" s="8" t="str">
        <f t="shared" si="0"/>
        <v/>
      </c>
      <c r="B63" s="9" t="str">
        <f t="array" ref="B63">IF(OR($C63="",$I63="",$J63=""),"","JSI-"&amp;IFERROR(INDEX(Referensi!$B$5:$B$14,MATCH($I63,Referensi!$A$5:$A$14,0)),"???")&amp;"-"&amp;IFERROR(INDEX(Referensi!$E$5:$E$14,MATCH($J63,Referensi!$D$5:$D$14,0)),"???")&amp;"-"&amp;TEXT(COUNTIFS($I$5:$I63,$I63,$J$5:$J63,$J63),"000"))</f>
        <v/>
      </c>
      <c r="C63" s="10"/>
      <c r="D63" s="10"/>
      <c r="E63" s="10"/>
      <c r="F63" s="10"/>
      <c r="G63" s="10"/>
      <c r="H63" s="10"/>
      <c r="I63" s="10"/>
      <c r="J63" s="11"/>
      <c r="K63" s="10"/>
      <c r="L63" s="11"/>
      <c r="M63" s="12"/>
      <c r="N63" s="12"/>
      <c r="O63" s="12"/>
      <c r="P63" s="13" t="str">
        <f t="shared" ca="1" si="1"/>
        <v/>
      </c>
      <c r="Q63" s="13" t="str">
        <f t="shared" ca="1" si="2"/>
        <v/>
      </c>
      <c r="R63" s="8" t="str">
        <f>IF($C63="","",IF($O63="","Belum ada kontak",IF($P63&gt;Referensi!$P$8,"Segera follow up",IF($P63&gt;Referensi!$P$9,"Perlu dipantau","Terkini"))))</f>
        <v/>
      </c>
      <c r="S63" s="13" t="str">
        <f>IF($C63="","",IF(OR($L63="Selesai",$L63="Batal"),0,IF($Q63="",5,IF($Q63&lt;0,50,IF($Q63&lt;=Referensi!$P$5,40,IF($Q63&lt;=Referensi!$P$6,30,IF($Q63&lt;=Referensi!$P$7,20,10)))))+IF($O63="",25,IF($P63&gt;Referensi!$P$8,30,IF($P63&gt;Referensi!$P$9,20,5)))+IF($U63="",5,IF($U63&gt;=Referensi!$P$10,20,IF($U63&gt;=Referensi!$P$11,10,5)))+IF($L63="Tertunda",15,IF(OR($L63="Negosiasi",$L63="Penawaran"),12,IF($L63="Berjalan",8,IF($L63="Prospek",5,0))))))</f>
        <v/>
      </c>
      <c r="T63" s="8" t="str">
        <f>IF($C63="","",IF(OR($L63="Selesai",$L63="Batal"),"Tidak aktif",IF($S63&gt;=Referensi!$P$12,"KRITIS",IF($S63&gt;=Referensi!$P$13,"Tinggi",IF($S63&gt;=Referensi!$P$14,"Sedang","Rendah")))))</f>
        <v/>
      </c>
      <c r="U63" s="14"/>
      <c r="V63" s="15"/>
      <c r="W63" s="9" t="str">
        <f t="shared" si="3"/>
        <v/>
      </c>
    </row>
    <row r="64" spans="1:23" ht="31.5" customHeight="1">
      <c r="A64" s="8" t="str">
        <f t="shared" si="0"/>
        <v/>
      </c>
      <c r="B64" s="9" t="str">
        <f t="array" ref="B64">IF(OR($C64="",$I64="",$J64=""),"","JSI-"&amp;IFERROR(INDEX(Referensi!$B$5:$B$14,MATCH($I64,Referensi!$A$5:$A$14,0)),"???")&amp;"-"&amp;IFERROR(INDEX(Referensi!$E$5:$E$14,MATCH($J64,Referensi!$D$5:$D$14,0)),"???")&amp;"-"&amp;TEXT(COUNTIFS($I$5:$I64,$I64,$J$5:$J64,$J64),"000"))</f>
        <v/>
      </c>
      <c r="C64" s="10"/>
      <c r="D64" s="10"/>
      <c r="E64" s="10"/>
      <c r="F64" s="10"/>
      <c r="G64" s="10"/>
      <c r="H64" s="10"/>
      <c r="I64" s="10"/>
      <c r="J64" s="11"/>
      <c r="K64" s="10"/>
      <c r="L64" s="11"/>
      <c r="M64" s="12"/>
      <c r="N64" s="12"/>
      <c r="O64" s="12"/>
      <c r="P64" s="13" t="str">
        <f t="shared" ca="1" si="1"/>
        <v/>
      </c>
      <c r="Q64" s="13" t="str">
        <f t="shared" ca="1" si="2"/>
        <v/>
      </c>
      <c r="R64" s="8" t="str">
        <f>IF($C64="","",IF($O64="","Belum ada kontak",IF($P64&gt;Referensi!$P$8,"Segera follow up",IF($P64&gt;Referensi!$P$9,"Perlu dipantau","Terkini"))))</f>
        <v/>
      </c>
      <c r="S64" s="13" t="str">
        <f>IF($C64="","",IF(OR($L64="Selesai",$L64="Batal"),0,IF($Q64="",5,IF($Q64&lt;0,50,IF($Q64&lt;=Referensi!$P$5,40,IF($Q64&lt;=Referensi!$P$6,30,IF($Q64&lt;=Referensi!$P$7,20,10)))))+IF($O64="",25,IF($P64&gt;Referensi!$P$8,30,IF($P64&gt;Referensi!$P$9,20,5)))+IF($U64="",5,IF($U64&gt;=Referensi!$P$10,20,IF($U64&gt;=Referensi!$P$11,10,5)))+IF($L64="Tertunda",15,IF(OR($L64="Negosiasi",$L64="Penawaran"),12,IF($L64="Berjalan",8,IF($L64="Prospek",5,0))))))</f>
        <v/>
      </c>
      <c r="T64" s="8" t="str">
        <f>IF($C64="","",IF(OR($L64="Selesai",$L64="Batal"),"Tidak aktif",IF($S64&gt;=Referensi!$P$12,"KRITIS",IF($S64&gt;=Referensi!$P$13,"Tinggi",IF($S64&gt;=Referensi!$P$14,"Sedang","Rendah")))))</f>
        <v/>
      </c>
      <c r="U64" s="14"/>
      <c r="V64" s="15"/>
      <c r="W64" s="9" t="str">
        <f t="shared" si="3"/>
        <v/>
      </c>
    </row>
    <row r="65" spans="1:23" ht="31.5" customHeight="1">
      <c r="A65" s="8" t="str">
        <f t="shared" si="0"/>
        <v/>
      </c>
      <c r="B65" s="9" t="str">
        <f t="array" ref="B65">IF(OR($C65="",$I65="",$J65=""),"","JSI-"&amp;IFERROR(INDEX(Referensi!$B$5:$B$14,MATCH($I65,Referensi!$A$5:$A$14,0)),"???")&amp;"-"&amp;IFERROR(INDEX(Referensi!$E$5:$E$14,MATCH($J65,Referensi!$D$5:$D$14,0)),"???")&amp;"-"&amp;TEXT(COUNTIFS($I$5:$I65,$I65,$J$5:$J65,$J65),"000"))</f>
        <v/>
      </c>
      <c r="C65" s="10"/>
      <c r="D65" s="10"/>
      <c r="E65" s="10"/>
      <c r="F65" s="10"/>
      <c r="G65" s="10"/>
      <c r="H65" s="10"/>
      <c r="I65" s="10"/>
      <c r="J65" s="11"/>
      <c r="K65" s="10"/>
      <c r="L65" s="11"/>
      <c r="M65" s="12"/>
      <c r="N65" s="12"/>
      <c r="O65" s="12"/>
      <c r="P65" s="13" t="str">
        <f t="shared" ca="1" si="1"/>
        <v/>
      </c>
      <c r="Q65" s="13" t="str">
        <f t="shared" ca="1" si="2"/>
        <v/>
      </c>
      <c r="R65" s="8" t="str">
        <f>IF($C65="","",IF($O65="","Belum ada kontak",IF($P65&gt;Referensi!$P$8,"Segera follow up",IF($P65&gt;Referensi!$P$9,"Perlu dipantau","Terkini"))))</f>
        <v/>
      </c>
      <c r="S65" s="13" t="str">
        <f>IF($C65="","",IF(OR($L65="Selesai",$L65="Batal"),0,IF($Q65="",5,IF($Q65&lt;0,50,IF($Q65&lt;=Referensi!$P$5,40,IF($Q65&lt;=Referensi!$P$6,30,IF($Q65&lt;=Referensi!$P$7,20,10)))))+IF($O65="",25,IF($P65&gt;Referensi!$P$8,30,IF($P65&gt;Referensi!$P$9,20,5)))+IF($U65="",5,IF($U65&gt;=Referensi!$P$10,20,IF($U65&gt;=Referensi!$P$11,10,5)))+IF($L65="Tertunda",15,IF(OR($L65="Negosiasi",$L65="Penawaran"),12,IF($L65="Berjalan",8,IF($L65="Prospek",5,0))))))</f>
        <v/>
      </c>
      <c r="T65" s="8" t="str">
        <f>IF($C65="","",IF(OR($L65="Selesai",$L65="Batal"),"Tidak aktif",IF($S65&gt;=Referensi!$P$12,"KRITIS",IF($S65&gt;=Referensi!$P$13,"Tinggi",IF($S65&gt;=Referensi!$P$14,"Sedang","Rendah")))))</f>
        <v/>
      </c>
      <c r="U65" s="14"/>
      <c r="V65" s="15"/>
      <c r="W65" s="9" t="str">
        <f t="shared" si="3"/>
        <v/>
      </c>
    </row>
    <row r="66" spans="1:23" ht="31.5" customHeight="1">
      <c r="A66" s="8" t="str">
        <f t="shared" si="0"/>
        <v/>
      </c>
      <c r="B66" s="9" t="str">
        <f t="array" ref="B66">IF(OR($C66="",$I66="",$J66=""),"","JSI-"&amp;IFERROR(INDEX(Referensi!$B$5:$B$14,MATCH($I66,Referensi!$A$5:$A$14,0)),"???")&amp;"-"&amp;IFERROR(INDEX(Referensi!$E$5:$E$14,MATCH($J66,Referensi!$D$5:$D$14,0)),"???")&amp;"-"&amp;TEXT(COUNTIFS($I$5:$I66,$I66,$J$5:$J66,$J66),"000"))</f>
        <v/>
      </c>
      <c r="C66" s="10"/>
      <c r="D66" s="10"/>
      <c r="E66" s="10"/>
      <c r="F66" s="10"/>
      <c r="G66" s="10"/>
      <c r="H66" s="10"/>
      <c r="I66" s="10"/>
      <c r="J66" s="11"/>
      <c r="K66" s="10"/>
      <c r="L66" s="11"/>
      <c r="M66" s="12"/>
      <c r="N66" s="12"/>
      <c r="O66" s="12"/>
      <c r="P66" s="13" t="str">
        <f t="shared" ca="1" si="1"/>
        <v/>
      </c>
      <c r="Q66" s="13" t="str">
        <f t="shared" ca="1" si="2"/>
        <v/>
      </c>
      <c r="R66" s="8" t="str">
        <f>IF($C66="","",IF($O66="","Belum ada kontak",IF($P66&gt;Referensi!$P$8,"Segera follow up",IF($P66&gt;Referensi!$P$9,"Perlu dipantau","Terkini"))))</f>
        <v/>
      </c>
      <c r="S66" s="13" t="str">
        <f>IF($C66="","",IF(OR($L66="Selesai",$L66="Batal"),0,IF($Q66="",5,IF($Q66&lt;0,50,IF($Q66&lt;=Referensi!$P$5,40,IF($Q66&lt;=Referensi!$P$6,30,IF($Q66&lt;=Referensi!$P$7,20,10)))))+IF($O66="",25,IF($P66&gt;Referensi!$P$8,30,IF($P66&gt;Referensi!$P$9,20,5)))+IF($U66="",5,IF($U66&gt;=Referensi!$P$10,20,IF($U66&gt;=Referensi!$P$11,10,5)))+IF($L66="Tertunda",15,IF(OR($L66="Negosiasi",$L66="Penawaran"),12,IF($L66="Berjalan",8,IF($L66="Prospek",5,0))))))</f>
        <v/>
      </c>
      <c r="T66" s="8" t="str">
        <f>IF($C66="","",IF(OR($L66="Selesai",$L66="Batal"),"Tidak aktif",IF($S66&gt;=Referensi!$P$12,"KRITIS",IF($S66&gt;=Referensi!$P$13,"Tinggi",IF($S66&gt;=Referensi!$P$14,"Sedang","Rendah")))))</f>
        <v/>
      </c>
      <c r="U66" s="14"/>
      <c r="V66" s="15"/>
      <c r="W66" s="9" t="str">
        <f t="shared" si="3"/>
        <v/>
      </c>
    </row>
    <row r="67" spans="1:23" ht="31.5" customHeight="1">
      <c r="A67" s="8" t="str">
        <f t="shared" si="0"/>
        <v/>
      </c>
      <c r="B67" s="9" t="str">
        <f t="array" ref="B67">IF(OR($C67="",$I67="",$J67=""),"","JSI-"&amp;IFERROR(INDEX(Referensi!$B$5:$B$14,MATCH($I67,Referensi!$A$5:$A$14,0)),"???")&amp;"-"&amp;IFERROR(INDEX(Referensi!$E$5:$E$14,MATCH($J67,Referensi!$D$5:$D$14,0)),"???")&amp;"-"&amp;TEXT(COUNTIFS($I$5:$I67,$I67,$J$5:$J67,$J67),"000"))</f>
        <v/>
      </c>
      <c r="C67" s="10"/>
      <c r="D67" s="10"/>
      <c r="E67" s="10"/>
      <c r="F67" s="10"/>
      <c r="G67" s="10"/>
      <c r="H67" s="10"/>
      <c r="I67" s="10"/>
      <c r="J67" s="11"/>
      <c r="K67" s="10"/>
      <c r="L67" s="11"/>
      <c r="M67" s="12"/>
      <c r="N67" s="12"/>
      <c r="O67" s="12"/>
      <c r="P67" s="13" t="str">
        <f t="shared" ca="1" si="1"/>
        <v/>
      </c>
      <c r="Q67" s="13" t="str">
        <f t="shared" ca="1" si="2"/>
        <v/>
      </c>
      <c r="R67" s="8" t="str">
        <f>IF($C67="","",IF($O67="","Belum ada kontak",IF($P67&gt;Referensi!$P$8,"Segera follow up",IF($P67&gt;Referensi!$P$9,"Perlu dipantau","Terkini"))))</f>
        <v/>
      </c>
      <c r="S67" s="13" t="str">
        <f>IF($C67="","",IF(OR($L67="Selesai",$L67="Batal"),0,IF($Q67="",5,IF($Q67&lt;0,50,IF($Q67&lt;=Referensi!$P$5,40,IF($Q67&lt;=Referensi!$P$6,30,IF($Q67&lt;=Referensi!$P$7,20,10)))))+IF($O67="",25,IF($P67&gt;Referensi!$P$8,30,IF($P67&gt;Referensi!$P$9,20,5)))+IF($U67="",5,IF($U67&gt;=Referensi!$P$10,20,IF($U67&gt;=Referensi!$P$11,10,5)))+IF($L67="Tertunda",15,IF(OR($L67="Negosiasi",$L67="Penawaran"),12,IF($L67="Berjalan",8,IF($L67="Prospek",5,0))))))</f>
        <v/>
      </c>
      <c r="T67" s="8" t="str">
        <f>IF($C67="","",IF(OR($L67="Selesai",$L67="Batal"),"Tidak aktif",IF($S67&gt;=Referensi!$P$12,"KRITIS",IF($S67&gt;=Referensi!$P$13,"Tinggi",IF($S67&gt;=Referensi!$P$14,"Sedang","Rendah")))))</f>
        <v/>
      </c>
      <c r="U67" s="14"/>
      <c r="V67" s="15"/>
      <c r="W67" s="9" t="str">
        <f t="shared" si="3"/>
        <v/>
      </c>
    </row>
    <row r="68" spans="1:23" ht="31.5" customHeight="1">
      <c r="A68" s="8" t="str">
        <f t="shared" si="0"/>
        <v/>
      </c>
      <c r="B68" s="9" t="str">
        <f t="array" ref="B68">IF(OR($C68="",$I68="",$J68=""),"","JSI-"&amp;IFERROR(INDEX(Referensi!$B$5:$B$14,MATCH($I68,Referensi!$A$5:$A$14,0)),"???")&amp;"-"&amp;IFERROR(INDEX(Referensi!$E$5:$E$14,MATCH($J68,Referensi!$D$5:$D$14,0)),"???")&amp;"-"&amp;TEXT(COUNTIFS($I$5:$I68,$I68,$J$5:$J68,$J68),"000"))</f>
        <v/>
      </c>
      <c r="C68" s="10"/>
      <c r="D68" s="10"/>
      <c r="E68" s="10"/>
      <c r="F68" s="10"/>
      <c r="G68" s="10"/>
      <c r="H68" s="10"/>
      <c r="I68" s="10"/>
      <c r="J68" s="11"/>
      <c r="K68" s="10"/>
      <c r="L68" s="11"/>
      <c r="M68" s="12"/>
      <c r="N68" s="12"/>
      <c r="O68" s="12"/>
      <c r="P68" s="13" t="str">
        <f t="shared" ca="1" si="1"/>
        <v/>
      </c>
      <c r="Q68" s="13" t="str">
        <f t="shared" ca="1" si="2"/>
        <v/>
      </c>
      <c r="R68" s="8" t="str">
        <f>IF($C68="","",IF($O68="","Belum ada kontak",IF($P68&gt;Referensi!$P$8,"Segera follow up",IF($P68&gt;Referensi!$P$9,"Perlu dipantau","Terkini"))))</f>
        <v/>
      </c>
      <c r="S68" s="13" t="str">
        <f>IF($C68="","",IF(OR($L68="Selesai",$L68="Batal"),0,IF($Q68="",5,IF($Q68&lt;0,50,IF($Q68&lt;=Referensi!$P$5,40,IF($Q68&lt;=Referensi!$P$6,30,IF($Q68&lt;=Referensi!$P$7,20,10)))))+IF($O68="",25,IF($P68&gt;Referensi!$P$8,30,IF($P68&gt;Referensi!$P$9,20,5)))+IF($U68="",5,IF($U68&gt;=Referensi!$P$10,20,IF($U68&gt;=Referensi!$P$11,10,5)))+IF($L68="Tertunda",15,IF(OR($L68="Negosiasi",$L68="Penawaran"),12,IF($L68="Berjalan",8,IF($L68="Prospek",5,0))))))</f>
        <v/>
      </c>
      <c r="T68" s="8" t="str">
        <f>IF($C68="","",IF(OR($L68="Selesai",$L68="Batal"),"Tidak aktif",IF($S68&gt;=Referensi!$P$12,"KRITIS",IF($S68&gt;=Referensi!$P$13,"Tinggi",IF($S68&gt;=Referensi!$P$14,"Sedang","Rendah")))))</f>
        <v/>
      </c>
      <c r="U68" s="14"/>
      <c r="V68" s="15"/>
      <c r="W68" s="9" t="str">
        <f t="shared" si="3"/>
        <v/>
      </c>
    </row>
    <row r="69" spans="1:23" ht="31.5" customHeight="1">
      <c r="A69" s="8" t="str">
        <f t="shared" si="0"/>
        <v/>
      </c>
      <c r="B69" s="9" t="str">
        <f t="array" ref="B69">IF(OR($C69="",$I69="",$J69=""),"","JSI-"&amp;IFERROR(INDEX(Referensi!$B$5:$B$14,MATCH($I69,Referensi!$A$5:$A$14,0)),"???")&amp;"-"&amp;IFERROR(INDEX(Referensi!$E$5:$E$14,MATCH($J69,Referensi!$D$5:$D$14,0)),"???")&amp;"-"&amp;TEXT(COUNTIFS($I$5:$I69,$I69,$J$5:$J69,$J69),"000"))</f>
        <v/>
      </c>
      <c r="C69" s="10"/>
      <c r="D69" s="10"/>
      <c r="E69" s="10"/>
      <c r="F69" s="10"/>
      <c r="G69" s="10"/>
      <c r="H69" s="10"/>
      <c r="I69" s="10"/>
      <c r="J69" s="11"/>
      <c r="K69" s="10"/>
      <c r="L69" s="11"/>
      <c r="M69" s="12"/>
      <c r="N69" s="12"/>
      <c r="O69" s="12"/>
      <c r="P69" s="13" t="str">
        <f t="shared" ca="1" si="1"/>
        <v/>
      </c>
      <c r="Q69" s="13" t="str">
        <f t="shared" ca="1" si="2"/>
        <v/>
      </c>
      <c r="R69" s="8" t="str">
        <f>IF($C69="","",IF($O69="","Belum ada kontak",IF($P69&gt;Referensi!$P$8,"Segera follow up",IF($P69&gt;Referensi!$P$9,"Perlu dipantau","Terkini"))))</f>
        <v/>
      </c>
      <c r="S69" s="13" t="str">
        <f>IF($C69="","",IF(OR($L69="Selesai",$L69="Batal"),0,IF($Q69="",5,IF($Q69&lt;0,50,IF($Q69&lt;=Referensi!$P$5,40,IF($Q69&lt;=Referensi!$P$6,30,IF($Q69&lt;=Referensi!$P$7,20,10)))))+IF($O69="",25,IF($P69&gt;Referensi!$P$8,30,IF($P69&gt;Referensi!$P$9,20,5)))+IF($U69="",5,IF($U69&gt;=Referensi!$P$10,20,IF($U69&gt;=Referensi!$P$11,10,5)))+IF($L69="Tertunda",15,IF(OR($L69="Negosiasi",$L69="Penawaran"),12,IF($L69="Berjalan",8,IF($L69="Prospek",5,0))))))</f>
        <v/>
      </c>
      <c r="T69" s="8" t="str">
        <f>IF($C69="","",IF(OR($L69="Selesai",$L69="Batal"),"Tidak aktif",IF($S69&gt;=Referensi!$P$12,"KRITIS",IF($S69&gt;=Referensi!$P$13,"Tinggi",IF($S69&gt;=Referensi!$P$14,"Sedang","Rendah")))))</f>
        <v/>
      </c>
      <c r="U69" s="14"/>
      <c r="V69" s="15"/>
      <c r="W69" s="9" t="str">
        <f t="shared" si="3"/>
        <v/>
      </c>
    </row>
    <row r="70" spans="1:23" ht="31.5" customHeight="1">
      <c r="A70" s="8" t="str">
        <f t="shared" si="0"/>
        <v/>
      </c>
      <c r="B70" s="9" t="str">
        <f t="array" ref="B70">IF(OR($C70="",$I70="",$J70=""),"","JSI-"&amp;IFERROR(INDEX(Referensi!$B$5:$B$14,MATCH($I70,Referensi!$A$5:$A$14,0)),"???")&amp;"-"&amp;IFERROR(INDEX(Referensi!$E$5:$E$14,MATCH($J70,Referensi!$D$5:$D$14,0)),"???")&amp;"-"&amp;TEXT(COUNTIFS($I$5:$I70,$I70,$J$5:$J70,$J70),"000"))</f>
        <v/>
      </c>
      <c r="C70" s="10"/>
      <c r="D70" s="10"/>
      <c r="E70" s="10"/>
      <c r="F70" s="10"/>
      <c r="G70" s="10"/>
      <c r="H70" s="10"/>
      <c r="I70" s="10"/>
      <c r="J70" s="11"/>
      <c r="K70" s="10"/>
      <c r="L70" s="11"/>
      <c r="M70" s="12"/>
      <c r="N70" s="12"/>
      <c r="O70" s="12"/>
      <c r="P70" s="13" t="str">
        <f t="shared" ca="1" si="1"/>
        <v/>
      </c>
      <c r="Q70" s="13" t="str">
        <f t="shared" ca="1" si="2"/>
        <v/>
      </c>
      <c r="R70" s="8" t="str">
        <f>IF($C70="","",IF($O70="","Belum ada kontak",IF($P70&gt;Referensi!$P$8,"Segera follow up",IF($P70&gt;Referensi!$P$9,"Perlu dipantau","Terkini"))))</f>
        <v/>
      </c>
      <c r="S70" s="13" t="str">
        <f>IF($C70="","",IF(OR($L70="Selesai",$L70="Batal"),0,IF($Q70="",5,IF($Q70&lt;0,50,IF($Q70&lt;=Referensi!$P$5,40,IF($Q70&lt;=Referensi!$P$6,30,IF($Q70&lt;=Referensi!$P$7,20,10)))))+IF($O70="",25,IF($P70&gt;Referensi!$P$8,30,IF($P70&gt;Referensi!$P$9,20,5)))+IF($U70="",5,IF($U70&gt;=Referensi!$P$10,20,IF($U70&gt;=Referensi!$P$11,10,5)))+IF($L70="Tertunda",15,IF(OR($L70="Negosiasi",$L70="Penawaran"),12,IF($L70="Berjalan",8,IF($L70="Prospek",5,0))))))</f>
        <v/>
      </c>
      <c r="T70" s="8" t="str">
        <f>IF($C70="","",IF(OR($L70="Selesai",$L70="Batal"),"Tidak aktif",IF($S70&gt;=Referensi!$P$12,"KRITIS",IF($S70&gt;=Referensi!$P$13,"Tinggi",IF($S70&gt;=Referensi!$P$14,"Sedang","Rendah")))))</f>
        <v/>
      </c>
      <c r="U70" s="14"/>
      <c r="V70" s="15"/>
      <c r="W70" s="9" t="str">
        <f t="shared" si="3"/>
        <v/>
      </c>
    </row>
    <row r="71" spans="1:23" ht="31.5" customHeight="1">
      <c r="A71" s="8" t="str">
        <f t="shared" si="0"/>
        <v/>
      </c>
      <c r="B71" s="9" t="str">
        <f t="array" ref="B71">IF(OR($C71="",$I71="",$J71=""),"","JSI-"&amp;IFERROR(INDEX(Referensi!$B$5:$B$14,MATCH($I71,Referensi!$A$5:$A$14,0)),"???")&amp;"-"&amp;IFERROR(INDEX(Referensi!$E$5:$E$14,MATCH($J71,Referensi!$D$5:$D$14,0)),"???")&amp;"-"&amp;TEXT(COUNTIFS($I$5:$I71,$I71,$J$5:$J71,$J71),"000"))</f>
        <v/>
      </c>
      <c r="C71" s="10"/>
      <c r="D71" s="10"/>
      <c r="E71" s="10"/>
      <c r="F71" s="10"/>
      <c r="G71" s="10"/>
      <c r="H71" s="10"/>
      <c r="I71" s="10"/>
      <c r="J71" s="11"/>
      <c r="K71" s="10"/>
      <c r="L71" s="11"/>
      <c r="M71" s="12"/>
      <c r="N71" s="12"/>
      <c r="O71" s="12"/>
      <c r="P71" s="13" t="str">
        <f t="shared" ca="1" si="1"/>
        <v/>
      </c>
      <c r="Q71" s="13" t="str">
        <f t="shared" ca="1" si="2"/>
        <v/>
      </c>
      <c r="R71" s="8" t="str">
        <f>IF($C71="","",IF($O71="","Belum ada kontak",IF($P71&gt;Referensi!$P$8,"Segera follow up",IF($P71&gt;Referensi!$P$9,"Perlu dipantau","Terkini"))))</f>
        <v/>
      </c>
      <c r="S71" s="13" t="str">
        <f>IF($C71="","",IF(OR($L71="Selesai",$L71="Batal"),0,IF($Q71="",5,IF($Q71&lt;0,50,IF($Q71&lt;=Referensi!$P$5,40,IF($Q71&lt;=Referensi!$P$6,30,IF($Q71&lt;=Referensi!$P$7,20,10)))))+IF($O71="",25,IF($P71&gt;Referensi!$P$8,30,IF($P71&gt;Referensi!$P$9,20,5)))+IF($U71="",5,IF($U71&gt;=Referensi!$P$10,20,IF($U71&gt;=Referensi!$P$11,10,5)))+IF($L71="Tertunda",15,IF(OR($L71="Negosiasi",$L71="Penawaran"),12,IF($L71="Berjalan",8,IF($L71="Prospek",5,0))))))</f>
        <v/>
      </c>
      <c r="T71" s="8" t="str">
        <f>IF($C71="","",IF(OR($L71="Selesai",$L71="Batal"),"Tidak aktif",IF($S71&gt;=Referensi!$P$12,"KRITIS",IF($S71&gt;=Referensi!$P$13,"Tinggi",IF($S71&gt;=Referensi!$P$14,"Sedang","Rendah")))))</f>
        <v/>
      </c>
      <c r="U71" s="14"/>
      <c r="V71" s="15"/>
      <c r="W71" s="9" t="str">
        <f t="shared" si="3"/>
        <v/>
      </c>
    </row>
    <row r="72" spans="1:23" ht="31.5" customHeight="1">
      <c r="A72" s="8" t="str">
        <f t="shared" si="0"/>
        <v/>
      </c>
      <c r="B72" s="9" t="str">
        <f t="array" ref="B72">IF(OR($C72="",$I72="",$J72=""),"","JSI-"&amp;IFERROR(INDEX(Referensi!$B$5:$B$14,MATCH($I72,Referensi!$A$5:$A$14,0)),"???")&amp;"-"&amp;IFERROR(INDEX(Referensi!$E$5:$E$14,MATCH($J72,Referensi!$D$5:$D$14,0)),"???")&amp;"-"&amp;TEXT(COUNTIFS($I$5:$I72,$I72,$J$5:$J72,$J72),"000"))</f>
        <v/>
      </c>
      <c r="C72" s="10"/>
      <c r="D72" s="10"/>
      <c r="E72" s="10"/>
      <c r="F72" s="10"/>
      <c r="G72" s="10"/>
      <c r="H72" s="10"/>
      <c r="I72" s="10"/>
      <c r="J72" s="11"/>
      <c r="K72" s="10"/>
      <c r="L72" s="11"/>
      <c r="M72" s="12"/>
      <c r="N72" s="12"/>
      <c r="O72" s="12"/>
      <c r="P72" s="13" t="str">
        <f t="shared" ca="1" si="1"/>
        <v/>
      </c>
      <c r="Q72" s="13" t="str">
        <f t="shared" ca="1" si="2"/>
        <v/>
      </c>
      <c r="R72" s="8" t="str">
        <f>IF($C72="","",IF($O72="","Belum ada kontak",IF($P72&gt;Referensi!$P$8,"Segera follow up",IF($P72&gt;Referensi!$P$9,"Perlu dipantau","Terkini"))))</f>
        <v/>
      </c>
      <c r="S72" s="13" t="str">
        <f>IF($C72="","",IF(OR($L72="Selesai",$L72="Batal"),0,IF($Q72="",5,IF($Q72&lt;0,50,IF($Q72&lt;=Referensi!$P$5,40,IF($Q72&lt;=Referensi!$P$6,30,IF($Q72&lt;=Referensi!$P$7,20,10)))))+IF($O72="",25,IF($P72&gt;Referensi!$P$8,30,IF($P72&gt;Referensi!$P$9,20,5)))+IF($U72="",5,IF($U72&gt;=Referensi!$P$10,20,IF($U72&gt;=Referensi!$P$11,10,5)))+IF($L72="Tertunda",15,IF(OR($L72="Negosiasi",$L72="Penawaran"),12,IF($L72="Berjalan",8,IF($L72="Prospek",5,0))))))</f>
        <v/>
      </c>
      <c r="T72" s="8" t="str">
        <f>IF($C72="","",IF(OR($L72="Selesai",$L72="Batal"),"Tidak aktif",IF($S72&gt;=Referensi!$P$12,"KRITIS",IF($S72&gt;=Referensi!$P$13,"Tinggi",IF($S72&gt;=Referensi!$P$14,"Sedang","Rendah")))))</f>
        <v/>
      </c>
      <c r="U72" s="14"/>
      <c r="V72" s="15"/>
      <c r="W72" s="9" t="str">
        <f t="shared" si="3"/>
        <v/>
      </c>
    </row>
    <row r="73" spans="1:23" ht="31.5" customHeight="1">
      <c r="A73" s="8" t="str">
        <f t="shared" si="0"/>
        <v/>
      </c>
      <c r="B73" s="9" t="str">
        <f t="array" ref="B73">IF(OR($C73="",$I73="",$J73=""),"","JSI-"&amp;IFERROR(INDEX(Referensi!$B$5:$B$14,MATCH($I73,Referensi!$A$5:$A$14,0)),"???")&amp;"-"&amp;IFERROR(INDEX(Referensi!$E$5:$E$14,MATCH($J73,Referensi!$D$5:$D$14,0)),"???")&amp;"-"&amp;TEXT(COUNTIFS($I$5:$I73,$I73,$J$5:$J73,$J73),"000"))</f>
        <v/>
      </c>
      <c r="C73" s="10"/>
      <c r="D73" s="10"/>
      <c r="E73" s="10"/>
      <c r="F73" s="10"/>
      <c r="G73" s="10"/>
      <c r="H73" s="10"/>
      <c r="I73" s="10"/>
      <c r="J73" s="11"/>
      <c r="K73" s="10"/>
      <c r="L73" s="11"/>
      <c r="M73" s="12"/>
      <c r="N73" s="12"/>
      <c r="O73" s="12"/>
      <c r="P73" s="13" t="str">
        <f t="shared" ca="1" si="1"/>
        <v/>
      </c>
      <c r="Q73" s="13" t="str">
        <f t="shared" ca="1" si="2"/>
        <v/>
      </c>
      <c r="R73" s="8" t="str">
        <f>IF($C73="","",IF($O73="","Belum ada kontak",IF($P73&gt;Referensi!$P$8,"Segera follow up",IF($P73&gt;Referensi!$P$9,"Perlu dipantau","Terkini"))))</f>
        <v/>
      </c>
      <c r="S73" s="13" t="str">
        <f>IF($C73="","",IF(OR($L73="Selesai",$L73="Batal"),0,IF($Q73="",5,IF($Q73&lt;0,50,IF($Q73&lt;=Referensi!$P$5,40,IF($Q73&lt;=Referensi!$P$6,30,IF($Q73&lt;=Referensi!$P$7,20,10)))))+IF($O73="",25,IF($P73&gt;Referensi!$P$8,30,IF($P73&gt;Referensi!$P$9,20,5)))+IF($U73="",5,IF($U73&gt;=Referensi!$P$10,20,IF($U73&gt;=Referensi!$P$11,10,5)))+IF($L73="Tertunda",15,IF(OR($L73="Negosiasi",$L73="Penawaran"),12,IF($L73="Berjalan",8,IF($L73="Prospek",5,0))))))</f>
        <v/>
      </c>
      <c r="T73" s="8" t="str">
        <f>IF($C73="","",IF(OR($L73="Selesai",$L73="Batal"),"Tidak aktif",IF($S73&gt;=Referensi!$P$12,"KRITIS",IF($S73&gt;=Referensi!$P$13,"Tinggi",IF($S73&gt;=Referensi!$P$14,"Sedang","Rendah")))))</f>
        <v/>
      </c>
      <c r="U73" s="14"/>
      <c r="V73" s="15"/>
      <c r="W73" s="9" t="str">
        <f t="shared" si="3"/>
        <v/>
      </c>
    </row>
    <row r="74" spans="1:23" ht="31.5" customHeight="1">
      <c r="A74" s="8" t="str">
        <f t="shared" si="0"/>
        <v/>
      </c>
      <c r="B74" s="9" t="str">
        <f t="array" ref="B74">IF(OR($C74="",$I74="",$J74=""),"","JSI-"&amp;IFERROR(INDEX(Referensi!$B$5:$B$14,MATCH($I74,Referensi!$A$5:$A$14,0)),"???")&amp;"-"&amp;IFERROR(INDEX(Referensi!$E$5:$E$14,MATCH($J74,Referensi!$D$5:$D$14,0)),"???")&amp;"-"&amp;TEXT(COUNTIFS($I$5:$I74,$I74,$J$5:$J74,$J74),"000"))</f>
        <v/>
      </c>
      <c r="C74" s="10"/>
      <c r="D74" s="10"/>
      <c r="E74" s="10"/>
      <c r="F74" s="10"/>
      <c r="G74" s="10"/>
      <c r="H74" s="10"/>
      <c r="I74" s="10"/>
      <c r="J74" s="11"/>
      <c r="K74" s="10"/>
      <c r="L74" s="11"/>
      <c r="M74" s="12"/>
      <c r="N74" s="12"/>
      <c r="O74" s="12"/>
      <c r="P74" s="13" t="str">
        <f t="shared" ca="1" si="1"/>
        <v/>
      </c>
      <c r="Q74" s="13" t="str">
        <f t="shared" ca="1" si="2"/>
        <v/>
      </c>
      <c r="R74" s="8" t="str">
        <f>IF($C74="","",IF($O74="","Belum ada kontak",IF($P74&gt;Referensi!$P$8,"Segera follow up",IF($P74&gt;Referensi!$P$9,"Perlu dipantau","Terkini"))))</f>
        <v/>
      </c>
      <c r="S74" s="13" t="str">
        <f>IF($C74="","",IF(OR($L74="Selesai",$L74="Batal"),0,IF($Q74="",5,IF($Q74&lt;0,50,IF($Q74&lt;=Referensi!$P$5,40,IF($Q74&lt;=Referensi!$P$6,30,IF($Q74&lt;=Referensi!$P$7,20,10)))))+IF($O74="",25,IF($P74&gt;Referensi!$P$8,30,IF($P74&gt;Referensi!$P$9,20,5)))+IF($U74="",5,IF($U74&gt;=Referensi!$P$10,20,IF($U74&gt;=Referensi!$P$11,10,5)))+IF($L74="Tertunda",15,IF(OR($L74="Negosiasi",$L74="Penawaran"),12,IF($L74="Berjalan",8,IF($L74="Prospek",5,0))))))</f>
        <v/>
      </c>
      <c r="T74" s="8" t="str">
        <f>IF($C74="","",IF(OR($L74="Selesai",$L74="Batal"),"Tidak aktif",IF($S74&gt;=Referensi!$P$12,"KRITIS",IF($S74&gt;=Referensi!$P$13,"Tinggi",IF($S74&gt;=Referensi!$P$14,"Sedang","Rendah")))))</f>
        <v/>
      </c>
      <c r="U74" s="14"/>
      <c r="V74" s="15"/>
      <c r="W74" s="9" t="str">
        <f t="shared" si="3"/>
        <v/>
      </c>
    </row>
    <row r="75" spans="1:23" ht="31.5" customHeight="1">
      <c r="A75" s="8" t="str">
        <f t="shared" si="0"/>
        <v/>
      </c>
      <c r="B75" s="9" t="str">
        <f t="array" ref="B75">IF(OR($C75="",$I75="",$J75=""),"","JSI-"&amp;IFERROR(INDEX(Referensi!$B$5:$B$14,MATCH($I75,Referensi!$A$5:$A$14,0)),"???")&amp;"-"&amp;IFERROR(INDEX(Referensi!$E$5:$E$14,MATCH($J75,Referensi!$D$5:$D$14,0)),"???")&amp;"-"&amp;TEXT(COUNTIFS($I$5:$I75,$I75,$J$5:$J75,$J75),"000"))</f>
        <v/>
      </c>
      <c r="C75" s="10"/>
      <c r="D75" s="10"/>
      <c r="E75" s="10"/>
      <c r="F75" s="10"/>
      <c r="G75" s="10"/>
      <c r="H75" s="10"/>
      <c r="I75" s="10"/>
      <c r="J75" s="11"/>
      <c r="K75" s="10"/>
      <c r="L75" s="11"/>
      <c r="M75" s="12"/>
      <c r="N75" s="12"/>
      <c r="O75" s="12"/>
      <c r="P75" s="13" t="str">
        <f t="shared" ca="1" si="1"/>
        <v/>
      </c>
      <c r="Q75" s="13" t="str">
        <f t="shared" ca="1" si="2"/>
        <v/>
      </c>
      <c r="R75" s="8" t="str">
        <f>IF($C75="","",IF($O75="","Belum ada kontak",IF($P75&gt;Referensi!$P$8,"Segera follow up",IF($P75&gt;Referensi!$P$9,"Perlu dipantau","Terkini"))))</f>
        <v/>
      </c>
      <c r="S75" s="13" t="str">
        <f>IF($C75="","",IF(OR($L75="Selesai",$L75="Batal"),0,IF($Q75="",5,IF($Q75&lt;0,50,IF($Q75&lt;=Referensi!$P$5,40,IF($Q75&lt;=Referensi!$P$6,30,IF($Q75&lt;=Referensi!$P$7,20,10)))))+IF($O75="",25,IF($P75&gt;Referensi!$P$8,30,IF($P75&gt;Referensi!$P$9,20,5)))+IF($U75="",5,IF($U75&gt;=Referensi!$P$10,20,IF($U75&gt;=Referensi!$P$11,10,5)))+IF($L75="Tertunda",15,IF(OR($L75="Negosiasi",$L75="Penawaran"),12,IF($L75="Berjalan",8,IF($L75="Prospek",5,0))))))</f>
        <v/>
      </c>
      <c r="T75" s="8" t="str">
        <f>IF($C75="","",IF(OR($L75="Selesai",$L75="Batal"),"Tidak aktif",IF($S75&gt;=Referensi!$P$12,"KRITIS",IF($S75&gt;=Referensi!$P$13,"Tinggi",IF($S75&gt;=Referensi!$P$14,"Sedang","Rendah")))))</f>
        <v/>
      </c>
      <c r="U75" s="14"/>
      <c r="V75" s="15"/>
      <c r="W75" s="9" t="str">
        <f t="shared" si="3"/>
        <v/>
      </c>
    </row>
    <row r="76" spans="1:23" ht="31.5" customHeight="1">
      <c r="A76" s="8" t="str">
        <f t="shared" si="0"/>
        <v/>
      </c>
      <c r="B76" s="9" t="str">
        <f t="array" ref="B76">IF(OR($C76="",$I76="",$J76=""),"","JSI-"&amp;IFERROR(INDEX(Referensi!$B$5:$B$14,MATCH($I76,Referensi!$A$5:$A$14,0)),"???")&amp;"-"&amp;IFERROR(INDEX(Referensi!$E$5:$E$14,MATCH($J76,Referensi!$D$5:$D$14,0)),"???")&amp;"-"&amp;TEXT(COUNTIFS($I$5:$I76,$I76,$J$5:$J76,$J76),"000"))</f>
        <v/>
      </c>
      <c r="C76" s="10"/>
      <c r="D76" s="10"/>
      <c r="E76" s="10"/>
      <c r="F76" s="10"/>
      <c r="G76" s="10"/>
      <c r="H76" s="10"/>
      <c r="I76" s="10"/>
      <c r="J76" s="11"/>
      <c r="K76" s="10"/>
      <c r="L76" s="11"/>
      <c r="M76" s="12"/>
      <c r="N76" s="12"/>
      <c r="O76" s="12"/>
      <c r="P76" s="13" t="str">
        <f t="shared" ca="1" si="1"/>
        <v/>
      </c>
      <c r="Q76" s="13" t="str">
        <f t="shared" ca="1" si="2"/>
        <v/>
      </c>
      <c r="R76" s="8" t="str">
        <f>IF($C76="","",IF($O76="","Belum ada kontak",IF($P76&gt;Referensi!$P$8,"Segera follow up",IF($P76&gt;Referensi!$P$9,"Perlu dipantau","Terkini"))))</f>
        <v/>
      </c>
      <c r="S76" s="13" t="str">
        <f>IF($C76="","",IF(OR($L76="Selesai",$L76="Batal"),0,IF($Q76="",5,IF($Q76&lt;0,50,IF($Q76&lt;=Referensi!$P$5,40,IF($Q76&lt;=Referensi!$P$6,30,IF($Q76&lt;=Referensi!$P$7,20,10)))))+IF($O76="",25,IF($P76&gt;Referensi!$P$8,30,IF($P76&gt;Referensi!$P$9,20,5)))+IF($U76="",5,IF($U76&gt;=Referensi!$P$10,20,IF($U76&gt;=Referensi!$P$11,10,5)))+IF($L76="Tertunda",15,IF(OR($L76="Negosiasi",$L76="Penawaran"),12,IF($L76="Berjalan",8,IF($L76="Prospek",5,0))))))</f>
        <v/>
      </c>
      <c r="T76" s="8" t="str">
        <f>IF($C76="","",IF(OR($L76="Selesai",$L76="Batal"),"Tidak aktif",IF($S76&gt;=Referensi!$P$12,"KRITIS",IF($S76&gt;=Referensi!$P$13,"Tinggi",IF($S76&gt;=Referensi!$P$14,"Sedang","Rendah")))))</f>
        <v/>
      </c>
      <c r="U76" s="14"/>
      <c r="V76" s="15"/>
      <c r="W76" s="9" t="str">
        <f t="shared" si="3"/>
        <v/>
      </c>
    </row>
    <row r="77" spans="1:23" ht="31.5" customHeight="1">
      <c r="A77" s="8" t="str">
        <f t="shared" si="0"/>
        <v/>
      </c>
      <c r="B77" s="9" t="str">
        <f t="array" ref="B77">IF(OR($C77="",$I77="",$J77=""),"","JSI-"&amp;IFERROR(INDEX(Referensi!$B$5:$B$14,MATCH($I77,Referensi!$A$5:$A$14,0)),"???")&amp;"-"&amp;IFERROR(INDEX(Referensi!$E$5:$E$14,MATCH($J77,Referensi!$D$5:$D$14,0)),"???")&amp;"-"&amp;TEXT(COUNTIFS($I$5:$I77,$I77,$J$5:$J77,$J77),"000"))</f>
        <v/>
      </c>
      <c r="C77" s="10"/>
      <c r="D77" s="10"/>
      <c r="E77" s="10"/>
      <c r="F77" s="10"/>
      <c r="G77" s="10"/>
      <c r="H77" s="10"/>
      <c r="I77" s="10"/>
      <c r="J77" s="11"/>
      <c r="K77" s="10"/>
      <c r="L77" s="11"/>
      <c r="M77" s="12"/>
      <c r="N77" s="12"/>
      <c r="O77" s="12"/>
      <c r="P77" s="13" t="str">
        <f t="shared" ca="1" si="1"/>
        <v/>
      </c>
      <c r="Q77" s="13" t="str">
        <f t="shared" ca="1" si="2"/>
        <v/>
      </c>
      <c r="R77" s="8" t="str">
        <f>IF($C77="","",IF($O77="","Belum ada kontak",IF($P77&gt;Referensi!$P$8,"Segera follow up",IF($P77&gt;Referensi!$P$9,"Perlu dipantau","Terkini"))))</f>
        <v/>
      </c>
      <c r="S77" s="13" t="str">
        <f>IF($C77="","",IF(OR($L77="Selesai",$L77="Batal"),0,IF($Q77="",5,IF($Q77&lt;0,50,IF($Q77&lt;=Referensi!$P$5,40,IF($Q77&lt;=Referensi!$P$6,30,IF($Q77&lt;=Referensi!$P$7,20,10)))))+IF($O77="",25,IF($P77&gt;Referensi!$P$8,30,IF($P77&gt;Referensi!$P$9,20,5)))+IF($U77="",5,IF($U77&gt;=Referensi!$P$10,20,IF($U77&gt;=Referensi!$P$11,10,5)))+IF($L77="Tertunda",15,IF(OR($L77="Negosiasi",$L77="Penawaran"),12,IF($L77="Berjalan",8,IF($L77="Prospek",5,0))))))</f>
        <v/>
      </c>
      <c r="T77" s="8" t="str">
        <f>IF($C77="","",IF(OR($L77="Selesai",$L77="Batal"),"Tidak aktif",IF($S77&gt;=Referensi!$P$12,"KRITIS",IF($S77&gt;=Referensi!$P$13,"Tinggi",IF($S77&gt;=Referensi!$P$14,"Sedang","Rendah")))))</f>
        <v/>
      </c>
      <c r="U77" s="14"/>
      <c r="V77" s="15"/>
      <c r="W77" s="9" t="str">
        <f t="shared" si="3"/>
        <v/>
      </c>
    </row>
    <row r="78" spans="1:23" ht="31.5" customHeight="1">
      <c r="A78" s="8" t="str">
        <f t="shared" si="0"/>
        <v/>
      </c>
      <c r="B78" s="9" t="str">
        <f t="array" ref="B78">IF(OR($C78="",$I78="",$J78=""),"","JSI-"&amp;IFERROR(INDEX(Referensi!$B$5:$B$14,MATCH($I78,Referensi!$A$5:$A$14,0)),"???")&amp;"-"&amp;IFERROR(INDEX(Referensi!$E$5:$E$14,MATCH($J78,Referensi!$D$5:$D$14,0)),"???")&amp;"-"&amp;TEXT(COUNTIFS($I$5:$I78,$I78,$J$5:$J78,$J78),"000"))</f>
        <v/>
      </c>
      <c r="C78" s="10"/>
      <c r="D78" s="10"/>
      <c r="E78" s="10"/>
      <c r="F78" s="10"/>
      <c r="G78" s="10"/>
      <c r="H78" s="10"/>
      <c r="I78" s="10"/>
      <c r="J78" s="11"/>
      <c r="K78" s="10"/>
      <c r="L78" s="11"/>
      <c r="M78" s="12"/>
      <c r="N78" s="12"/>
      <c r="O78" s="12"/>
      <c r="P78" s="13" t="str">
        <f t="shared" ca="1" si="1"/>
        <v/>
      </c>
      <c r="Q78" s="13" t="str">
        <f t="shared" ca="1" si="2"/>
        <v/>
      </c>
      <c r="R78" s="8" t="str">
        <f>IF($C78="","",IF($O78="","Belum ada kontak",IF($P78&gt;Referensi!$P$8,"Segera follow up",IF($P78&gt;Referensi!$P$9,"Perlu dipantau","Terkini"))))</f>
        <v/>
      </c>
      <c r="S78" s="13" t="str">
        <f>IF($C78="","",IF(OR($L78="Selesai",$L78="Batal"),0,IF($Q78="",5,IF($Q78&lt;0,50,IF($Q78&lt;=Referensi!$P$5,40,IF($Q78&lt;=Referensi!$P$6,30,IF($Q78&lt;=Referensi!$P$7,20,10)))))+IF($O78="",25,IF($P78&gt;Referensi!$P$8,30,IF($P78&gt;Referensi!$P$9,20,5)))+IF($U78="",5,IF($U78&gt;=Referensi!$P$10,20,IF($U78&gt;=Referensi!$P$11,10,5)))+IF($L78="Tertunda",15,IF(OR($L78="Negosiasi",$L78="Penawaran"),12,IF($L78="Berjalan",8,IF($L78="Prospek",5,0))))))</f>
        <v/>
      </c>
      <c r="T78" s="8" t="str">
        <f>IF($C78="","",IF(OR($L78="Selesai",$L78="Batal"),"Tidak aktif",IF($S78&gt;=Referensi!$P$12,"KRITIS",IF($S78&gt;=Referensi!$P$13,"Tinggi",IF($S78&gt;=Referensi!$P$14,"Sedang","Rendah")))))</f>
        <v/>
      </c>
      <c r="U78" s="14"/>
      <c r="V78" s="15"/>
      <c r="W78" s="9" t="str">
        <f t="shared" si="3"/>
        <v/>
      </c>
    </row>
    <row r="79" spans="1:23" ht="31.5" customHeight="1">
      <c r="A79" s="8" t="str">
        <f t="shared" si="0"/>
        <v/>
      </c>
      <c r="B79" s="9" t="str">
        <f t="array" ref="B79">IF(OR($C79="",$I79="",$J79=""),"","JSI-"&amp;IFERROR(INDEX(Referensi!$B$5:$B$14,MATCH($I79,Referensi!$A$5:$A$14,0)),"???")&amp;"-"&amp;IFERROR(INDEX(Referensi!$E$5:$E$14,MATCH($J79,Referensi!$D$5:$D$14,0)),"???")&amp;"-"&amp;TEXT(COUNTIFS($I$5:$I79,$I79,$J$5:$J79,$J79),"000"))</f>
        <v/>
      </c>
      <c r="C79" s="10"/>
      <c r="D79" s="10"/>
      <c r="E79" s="10"/>
      <c r="F79" s="10"/>
      <c r="G79" s="10"/>
      <c r="H79" s="10"/>
      <c r="I79" s="10"/>
      <c r="J79" s="11"/>
      <c r="K79" s="10"/>
      <c r="L79" s="11"/>
      <c r="M79" s="12"/>
      <c r="N79" s="12"/>
      <c r="O79" s="12"/>
      <c r="P79" s="13" t="str">
        <f t="shared" ca="1" si="1"/>
        <v/>
      </c>
      <c r="Q79" s="13" t="str">
        <f t="shared" ca="1" si="2"/>
        <v/>
      </c>
      <c r="R79" s="8" t="str">
        <f>IF($C79="","",IF($O79="","Belum ada kontak",IF($P79&gt;Referensi!$P$8,"Segera follow up",IF($P79&gt;Referensi!$P$9,"Perlu dipantau","Terkini"))))</f>
        <v/>
      </c>
      <c r="S79" s="13" t="str">
        <f>IF($C79="","",IF(OR($L79="Selesai",$L79="Batal"),0,IF($Q79="",5,IF($Q79&lt;0,50,IF($Q79&lt;=Referensi!$P$5,40,IF($Q79&lt;=Referensi!$P$6,30,IF($Q79&lt;=Referensi!$P$7,20,10)))))+IF($O79="",25,IF($P79&gt;Referensi!$P$8,30,IF($P79&gt;Referensi!$P$9,20,5)))+IF($U79="",5,IF($U79&gt;=Referensi!$P$10,20,IF($U79&gt;=Referensi!$P$11,10,5)))+IF($L79="Tertunda",15,IF(OR($L79="Negosiasi",$L79="Penawaran"),12,IF($L79="Berjalan",8,IF($L79="Prospek",5,0))))))</f>
        <v/>
      </c>
      <c r="T79" s="8" t="str">
        <f>IF($C79="","",IF(OR($L79="Selesai",$L79="Batal"),"Tidak aktif",IF($S79&gt;=Referensi!$P$12,"KRITIS",IF($S79&gt;=Referensi!$P$13,"Tinggi",IF($S79&gt;=Referensi!$P$14,"Sedang","Rendah")))))</f>
        <v/>
      </c>
      <c r="U79" s="14"/>
      <c r="V79" s="15"/>
      <c r="W79" s="9" t="str">
        <f t="shared" si="3"/>
        <v/>
      </c>
    </row>
    <row r="80" spans="1:23" ht="31.5" customHeight="1">
      <c r="A80" s="8" t="str">
        <f t="shared" si="0"/>
        <v/>
      </c>
      <c r="B80" s="9" t="str">
        <f t="array" ref="B80">IF(OR($C80="",$I80="",$J80=""),"","JSI-"&amp;IFERROR(INDEX(Referensi!$B$5:$B$14,MATCH($I80,Referensi!$A$5:$A$14,0)),"???")&amp;"-"&amp;IFERROR(INDEX(Referensi!$E$5:$E$14,MATCH($J80,Referensi!$D$5:$D$14,0)),"???")&amp;"-"&amp;TEXT(COUNTIFS($I$5:$I80,$I80,$J$5:$J80,$J80),"000"))</f>
        <v/>
      </c>
      <c r="C80" s="10"/>
      <c r="D80" s="10"/>
      <c r="E80" s="10"/>
      <c r="F80" s="10"/>
      <c r="G80" s="10"/>
      <c r="H80" s="10"/>
      <c r="I80" s="10"/>
      <c r="J80" s="11"/>
      <c r="K80" s="10"/>
      <c r="L80" s="11"/>
      <c r="M80" s="12"/>
      <c r="N80" s="12"/>
      <c r="O80" s="12"/>
      <c r="P80" s="13" t="str">
        <f t="shared" ca="1" si="1"/>
        <v/>
      </c>
      <c r="Q80" s="13" t="str">
        <f t="shared" ca="1" si="2"/>
        <v/>
      </c>
      <c r="R80" s="8" t="str">
        <f>IF($C80="","",IF($O80="","Belum ada kontak",IF($P80&gt;Referensi!$P$8,"Segera follow up",IF($P80&gt;Referensi!$P$9,"Perlu dipantau","Terkini"))))</f>
        <v/>
      </c>
      <c r="S80" s="13" t="str">
        <f>IF($C80="","",IF(OR($L80="Selesai",$L80="Batal"),0,IF($Q80="",5,IF($Q80&lt;0,50,IF($Q80&lt;=Referensi!$P$5,40,IF($Q80&lt;=Referensi!$P$6,30,IF($Q80&lt;=Referensi!$P$7,20,10)))))+IF($O80="",25,IF($P80&gt;Referensi!$P$8,30,IF($P80&gt;Referensi!$P$9,20,5)))+IF($U80="",5,IF($U80&gt;=Referensi!$P$10,20,IF($U80&gt;=Referensi!$P$11,10,5)))+IF($L80="Tertunda",15,IF(OR($L80="Negosiasi",$L80="Penawaran"),12,IF($L80="Berjalan",8,IF($L80="Prospek",5,0))))))</f>
        <v/>
      </c>
      <c r="T80" s="8" t="str">
        <f>IF($C80="","",IF(OR($L80="Selesai",$L80="Batal"),"Tidak aktif",IF($S80&gt;=Referensi!$P$12,"KRITIS",IF($S80&gt;=Referensi!$P$13,"Tinggi",IF($S80&gt;=Referensi!$P$14,"Sedang","Rendah")))))</f>
        <v/>
      </c>
      <c r="U80" s="14"/>
      <c r="V80" s="15"/>
      <c r="W80" s="9" t="str">
        <f t="shared" si="3"/>
        <v/>
      </c>
    </row>
    <row r="81" spans="1:23" ht="31.5" customHeight="1">
      <c r="A81" s="8" t="str">
        <f t="shared" si="0"/>
        <v/>
      </c>
      <c r="B81" s="9" t="str">
        <f t="array" ref="B81">IF(OR($C81="",$I81="",$J81=""),"","JSI-"&amp;IFERROR(INDEX(Referensi!$B$5:$B$14,MATCH($I81,Referensi!$A$5:$A$14,0)),"???")&amp;"-"&amp;IFERROR(INDEX(Referensi!$E$5:$E$14,MATCH($J81,Referensi!$D$5:$D$14,0)),"???")&amp;"-"&amp;TEXT(COUNTIFS($I$5:$I81,$I81,$J$5:$J81,$J81),"000"))</f>
        <v/>
      </c>
      <c r="C81" s="10"/>
      <c r="D81" s="10"/>
      <c r="E81" s="10"/>
      <c r="F81" s="10"/>
      <c r="G81" s="10"/>
      <c r="H81" s="10"/>
      <c r="I81" s="10"/>
      <c r="J81" s="11"/>
      <c r="K81" s="10"/>
      <c r="L81" s="11"/>
      <c r="M81" s="12"/>
      <c r="N81" s="12"/>
      <c r="O81" s="12"/>
      <c r="P81" s="13" t="str">
        <f t="shared" ca="1" si="1"/>
        <v/>
      </c>
      <c r="Q81" s="13" t="str">
        <f t="shared" ca="1" si="2"/>
        <v/>
      </c>
      <c r="R81" s="8" t="str">
        <f>IF($C81="","",IF($O81="","Belum ada kontak",IF($P81&gt;Referensi!$P$8,"Segera follow up",IF($P81&gt;Referensi!$P$9,"Perlu dipantau","Terkini"))))</f>
        <v/>
      </c>
      <c r="S81" s="13" t="str">
        <f>IF($C81="","",IF(OR($L81="Selesai",$L81="Batal"),0,IF($Q81="",5,IF($Q81&lt;0,50,IF($Q81&lt;=Referensi!$P$5,40,IF($Q81&lt;=Referensi!$P$6,30,IF($Q81&lt;=Referensi!$P$7,20,10)))))+IF($O81="",25,IF($P81&gt;Referensi!$P$8,30,IF($P81&gt;Referensi!$P$9,20,5)))+IF($U81="",5,IF($U81&gt;=Referensi!$P$10,20,IF($U81&gt;=Referensi!$P$11,10,5)))+IF($L81="Tertunda",15,IF(OR($L81="Negosiasi",$L81="Penawaran"),12,IF($L81="Berjalan",8,IF($L81="Prospek",5,0))))))</f>
        <v/>
      </c>
      <c r="T81" s="8" t="str">
        <f>IF($C81="","",IF(OR($L81="Selesai",$L81="Batal"),"Tidak aktif",IF($S81&gt;=Referensi!$P$12,"KRITIS",IF($S81&gt;=Referensi!$P$13,"Tinggi",IF($S81&gt;=Referensi!$P$14,"Sedang","Rendah")))))</f>
        <v/>
      </c>
      <c r="U81" s="14"/>
      <c r="V81" s="15"/>
      <c r="W81" s="9" t="str">
        <f t="shared" si="3"/>
        <v/>
      </c>
    </row>
    <row r="82" spans="1:23" ht="31.5" customHeight="1">
      <c r="A82" s="8" t="str">
        <f t="shared" si="0"/>
        <v/>
      </c>
      <c r="B82" s="9" t="str">
        <f t="array" ref="B82">IF(OR($C82="",$I82="",$J82=""),"","JSI-"&amp;IFERROR(INDEX(Referensi!$B$5:$B$14,MATCH($I82,Referensi!$A$5:$A$14,0)),"???")&amp;"-"&amp;IFERROR(INDEX(Referensi!$E$5:$E$14,MATCH($J82,Referensi!$D$5:$D$14,0)),"???")&amp;"-"&amp;TEXT(COUNTIFS($I$5:$I82,$I82,$J$5:$J82,$J82),"000"))</f>
        <v/>
      </c>
      <c r="C82" s="10"/>
      <c r="D82" s="10"/>
      <c r="E82" s="10"/>
      <c r="F82" s="10"/>
      <c r="G82" s="10"/>
      <c r="H82" s="10"/>
      <c r="I82" s="10"/>
      <c r="J82" s="11"/>
      <c r="K82" s="10"/>
      <c r="L82" s="11"/>
      <c r="M82" s="12"/>
      <c r="N82" s="12"/>
      <c r="O82" s="12"/>
      <c r="P82" s="13" t="str">
        <f t="shared" ca="1" si="1"/>
        <v/>
      </c>
      <c r="Q82" s="13" t="str">
        <f t="shared" ca="1" si="2"/>
        <v/>
      </c>
      <c r="R82" s="8" t="str">
        <f>IF($C82="","",IF($O82="","Belum ada kontak",IF($P82&gt;Referensi!$P$8,"Segera follow up",IF($P82&gt;Referensi!$P$9,"Perlu dipantau","Terkini"))))</f>
        <v/>
      </c>
      <c r="S82" s="13" t="str">
        <f>IF($C82="","",IF(OR($L82="Selesai",$L82="Batal"),0,IF($Q82="",5,IF($Q82&lt;0,50,IF($Q82&lt;=Referensi!$P$5,40,IF($Q82&lt;=Referensi!$P$6,30,IF($Q82&lt;=Referensi!$P$7,20,10)))))+IF($O82="",25,IF($P82&gt;Referensi!$P$8,30,IF($P82&gt;Referensi!$P$9,20,5)))+IF($U82="",5,IF($U82&gt;=Referensi!$P$10,20,IF($U82&gt;=Referensi!$P$11,10,5)))+IF($L82="Tertunda",15,IF(OR($L82="Negosiasi",$L82="Penawaran"),12,IF($L82="Berjalan",8,IF($L82="Prospek",5,0))))))</f>
        <v/>
      </c>
      <c r="T82" s="8" t="str">
        <f>IF($C82="","",IF(OR($L82="Selesai",$L82="Batal"),"Tidak aktif",IF($S82&gt;=Referensi!$P$12,"KRITIS",IF($S82&gt;=Referensi!$P$13,"Tinggi",IF($S82&gt;=Referensi!$P$14,"Sedang","Rendah")))))</f>
        <v/>
      </c>
      <c r="U82" s="14"/>
      <c r="V82" s="15"/>
      <c r="W82" s="9" t="str">
        <f t="shared" si="3"/>
        <v/>
      </c>
    </row>
    <row r="83" spans="1:23" ht="31.5" customHeight="1">
      <c r="A83" s="8" t="str">
        <f t="shared" si="0"/>
        <v/>
      </c>
      <c r="B83" s="9" t="str">
        <f t="array" ref="B83">IF(OR($C83="",$I83="",$J83=""),"","JSI-"&amp;IFERROR(INDEX(Referensi!$B$5:$B$14,MATCH($I83,Referensi!$A$5:$A$14,0)),"???")&amp;"-"&amp;IFERROR(INDEX(Referensi!$E$5:$E$14,MATCH($J83,Referensi!$D$5:$D$14,0)),"???")&amp;"-"&amp;TEXT(COUNTIFS($I$5:$I83,$I83,$J$5:$J83,$J83),"000"))</f>
        <v/>
      </c>
      <c r="C83" s="10"/>
      <c r="D83" s="10"/>
      <c r="E83" s="10"/>
      <c r="F83" s="10"/>
      <c r="G83" s="10"/>
      <c r="H83" s="10"/>
      <c r="I83" s="10"/>
      <c r="J83" s="11"/>
      <c r="K83" s="10"/>
      <c r="L83" s="11"/>
      <c r="M83" s="12"/>
      <c r="N83" s="12"/>
      <c r="O83" s="12"/>
      <c r="P83" s="13" t="str">
        <f t="shared" ca="1" si="1"/>
        <v/>
      </c>
      <c r="Q83" s="13" t="str">
        <f t="shared" ca="1" si="2"/>
        <v/>
      </c>
      <c r="R83" s="8" t="str">
        <f>IF($C83="","",IF($O83="","Belum ada kontak",IF($P83&gt;Referensi!$P$8,"Segera follow up",IF($P83&gt;Referensi!$P$9,"Perlu dipantau","Terkini"))))</f>
        <v/>
      </c>
      <c r="S83" s="13" t="str">
        <f>IF($C83="","",IF(OR($L83="Selesai",$L83="Batal"),0,IF($Q83="",5,IF($Q83&lt;0,50,IF($Q83&lt;=Referensi!$P$5,40,IF($Q83&lt;=Referensi!$P$6,30,IF($Q83&lt;=Referensi!$P$7,20,10)))))+IF($O83="",25,IF($P83&gt;Referensi!$P$8,30,IF($P83&gt;Referensi!$P$9,20,5)))+IF($U83="",5,IF($U83&gt;=Referensi!$P$10,20,IF($U83&gt;=Referensi!$P$11,10,5)))+IF($L83="Tertunda",15,IF(OR($L83="Negosiasi",$L83="Penawaran"),12,IF($L83="Berjalan",8,IF($L83="Prospek",5,0))))))</f>
        <v/>
      </c>
      <c r="T83" s="8" t="str">
        <f>IF($C83="","",IF(OR($L83="Selesai",$L83="Batal"),"Tidak aktif",IF($S83&gt;=Referensi!$P$12,"KRITIS",IF($S83&gt;=Referensi!$P$13,"Tinggi",IF($S83&gt;=Referensi!$P$14,"Sedang","Rendah")))))</f>
        <v/>
      </c>
      <c r="U83" s="14"/>
      <c r="V83" s="15"/>
      <c r="W83" s="9" t="str">
        <f t="shared" si="3"/>
        <v/>
      </c>
    </row>
    <row r="84" spans="1:23" ht="31.5" customHeight="1">
      <c r="A84" s="8" t="str">
        <f t="shared" si="0"/>
        <v/>
      </c>
      <c r="B84" s="9" t="str">
        <f t="array" ref="B84">IF(OR($C84="",$I84="",$J84=""),"","JSI-"&amp;IFERROR(INDEX(Referensi!$B$5:$B$14,MATCH($I84,Referensi!$A$5:$A$14,0)),"???")&amp;"-"&amp;IFERROR(INDEX(Referensi!$E$5:$E$14,MATCH($J84,Referensi!$D$5:$D$14,0)),"???")&amp;"-"&amp;TEXT(COUNTIFS($I$5:$I84,$I84,$J$5:$J84,$J84),"000"))</f>
        <v/>
      </c>
      <c r="C84" s="10"/>
      <c r="D84" s="10"/>
      <c r="E84" s="10"/>
      <c r="F84" s="10"/>
      <c r="G84" s="10"/>
      <c r="H84" s="10"/>
      <c r="I84" s="10"/>
      <c r="J84" s="11"/>
      <c r="K84" s="10"/>
      <c r="L84" s="11"/>
      <c r="M84" s="12"/>
      <c r="N84" s="12"/>
      <c r="O84" s="12"/>
      <c r="P84" s="13" t="str">
        <f t="shared" ca="1" si="1"/>
        <v/>
      </c>
      <c r="Q84" s="13" t="str">
        <f t="shared" ca="1" si="2"/>
        <v/>
      </c>
      <c r="R84" s="8" t="str">
        <f>IF($C84="","",IF($O84="","Belum ada kontak",IF($P84&gt;Referensi!$P$8,"Segera follow up",IF($P84&gt;Referensi!$P$9,"Perlu dipantau","Terkini"))))</f>
        <v/>
      </c>
      <c r="S84" s="13" t="str">
        <f>IF($C84="","",IF(OR($L84="Selesai",$L84="Batal"),0,IF($Q84="",5,IF($Q84&lt;0,50,IF($Q84&lt;=Referensi!$P$5,40,IF($Q84&lt;=Referensi!$P$6,30,IF($Q84&lt;=Referensi!$P$7,20,10)))))+IF($O84="",25,IF($P84&gt;Referensi!$P$8,30,IF($P84&gt;Referensi!$P$9,20,5)))+IF($U84="",5,IF($U84&gt;=Referensi!$P$10,20,IF($U84&gt;=Referensi!$P$11,10,5)))+IF($L84="Tertunda",15,IF(OR($L84="Negosiasi",$L84="Penawaran"),12,IF($L84="Berjalan",8,IF($L84="Prospek",5,0))))))</f>
        <v/>
      </c>
      <c r="T84" s="8" t="str">
        <f>IF($C84="","",IF(OR($L84="Selesai",$L84="Batal"),"Tidak aktif",IF($S84&gt;=Referensi!$P$12,"KRITIS",IF($S84&gt;=Referensi!$P$13,"Tinggi",IF($S84&gt;=Referensi!$P$14,"Sedang","Rendah")))))</f>
        <v/>
      </c>
      <c r="U84" s="14"/>
      <c r="V84" s="15"/>
      <c r="W84" s="9" t="str">
        <f t="shared" si="3"/>
        <v/>
      </c>
    </row>
    <row r="85" spans="1:23" ht="31.5" customHeight="1">
      <c r="A85" s="8" t="str">
        <f t="shared" si="0"/>
        <v/>
      </c>
      <c r="B85" s="9" t="str">
        <f t="array" ref="B85">IF(OR($C85="",$I85="",$J85=""),"","JSI-"&amp;IFERROR(INDEX(Referensi!$B$5:$B$14,MATCH($I85,Referensi!$A$5:$A$14,0)),"???")&amp;"-"&amp;IFERROR(INDEX(Referensi!$E$5:$E$14,MATCH($J85,Referensi!$D$5:$D$14,0)),"???")&amp;"-"&amp;TEXT(COUNTIFS($I$5:$I85,$I85,$J$5:$J85,$J85),"000"))</f>
        <v/>
      </c>
      <c r="C85" s="10"/>
      <c r="D85" s="10"/>
      <c r="E85" s="10"/>
      <c r="F85" s="10"/>
      <c r="G85" s="10"/>
      <c r="H85" s="10"/>
      <c r="I85" s="10"/>
      <c r="J85" s="11"/>
      <c r="K85" s="10"/>
      <c r="L85" s="11"/>
      <c r="M85" s="12"/>
      <c r="N85" s="12"/>
      <c r="O85" s="12"/>
      <c r="P85" s="13" t="str">
        <f t="shared" ca="1" si="1"/>
        <v/>
      </c>
      <c r="Q85" s="13" t="str">
        <f t="shared" ca="1" si="2"/>
        <v/>
      </c>
      <c r="R85" s="8" t="str">
        <f>IF($C85="","",IF($O85="","Belum ada kontak",IF($P85&gt;Referensi!$P$8,"Segera follow up",IF($P85&gt;Referensi!$P$9,"Perlu dipantau","Terkini"))))</f>
        <v/>
      </c>
      <c r="S85" s="13" t="str">
        <f>IF($C85="","",IF(OR($L85="Selesai",$L85="Batal"),0,IF($Q85="",5,IF($Q85&lt;0,50,IF($Q85&lt;=Referensi!$P$5,40,IF($Q85&lt;=Referensi!$P$6,30,IF($Q85&lt;=Referensi!$P$7,20,10)))))+IF($O85="",25,IF($P85&gt;Referensi!$P$8,30,IF($P85&gt;Referensi!$P$9,20,5)))+IF($U85="",5,IF($U85&gt;=Referensi!$P$10,20,IF($U85&gt;=Referensi!$P$11,10,5)))+IF($L85="Tertunda",15,IF(OR($L85="Negosiasi",$L85="Penawaran"),12,IF($L85="Berjalan",8,IF($L85="Prospek",5,0))))))</f>
        <v/>
      </c>
      <c r="T85" s="8" t="str">
        <f>IF($C85="","",IF(OR($L85="Selesai",$L85="Batal"),"Tidak aktif",IF($S85&gt;=Referensi!$P$12,"KRITIS",IF($S85&gt;=Referensi!$P$13,"Tinggi",IF($S85&gt;=Referensi!$P$14,"Sedang","Rendah")))))</f>
        <v/>
      </c>
      <c r="U85" s="14"/>
      <c r="V85" s="15"/>
      <c r="W85" s="9" t="str">
        <f t="shared" si="3"/>
        <v/>
      </c>
    </row>
    <row r="86" spans="1:23" ht="31.5" customHeight="1">
      <c r="A86" s="8" t="str">
        <f t="shared" si="0"/>
        <v/>
      </c>
      <c r="B86" s="9" t="str">
        <f t="array" ref="B86">IF(OR($C86="",$I86="",$J86=""),"","JSI-"&amp;IFERROR(INDEX(Referensi!$B$5:$B$14,MATCH($I86,Referensi!$A$5:$A$14,0)),"???")&amp;"-"&amp;IFERROR(INDEX(Referensi!$E$5:$E$14,MATCH($J86,Referensi!$D$5:$D$14,0)),"???")&amp;"-"&amp;TEXT(COUNTIFS($I$5:$I86,$I86,$J$5:$J86,$J86),"000"))</f>
        <v/>
      </c>
      <c r="C86" s="10"/>
      <c r="D86" s="10"/>
      <c r="E86" s="10"/>
      <c r="F86" s="10"/>
      <c r="G86" s="10"/>
      <c r="H86" s="10"/>
      <c r="I86" s="10"/>
      <c r="J86" s="11"/>
      <c r="K86" s="10"/>
      <c r="L86" s="11"/>
      <c r="M86" s="12"/>
      <c r="N86" s="12"/>
      <c r="O86" s="12"/>
      <c r="P86" s="13" t="str">
        <f t="shared" ca="1" si="1"/>
        <v/>
      </c>
      <c r="Q86" s="13" t="str">
        <f t="shared" ca="1" si="2"/>
        <v/>
      </c>
      <c r="R86" s="8" t="str">
        <f>IF($C86="","",IF($O86="","Belum ada kontak",IF($P86&gt;Referensi!$P$8,"Segera follow up",IF($P86&gt;Referensi!$P$9,"Perlu dipantau","Terkini"))))</f>
        <v/>
      </c>
      <c r="S86" s="13" t="str">
        <f>IF($C86="","",IF(OR($L86="Selesai",$L86="Batal"),0,IF($Q86="",5,IF($Q86&lt;0,50,IF($Q86&lt;=Referensi!$P$5,40,IF($Q86&lt;=Referensi!$P$6,30,IF($Q86&lt;=Referensi!$P$7,20,10)))))+IF($O86="",25,IF($P86&gt;Referensi!$P$8,30,IF($P86&gt;Referensi!$P$9,20,5)))+IF($U86="",5,IF($U86&gt;=Referensi!$P$10,20,IF($U86&gt;=Referensi!$P$11,10,5)))+IF($L86="Tertunda",15,IF(OR($L86="Negosiasi",$L86="Penawaran"),12,IF($L86="Berjalan",8,IF($L86="Prospek",5,0))))))</f>
        <v/>
      </c>
      <c r="T86" s="8" t="str">
        <f>IF($C86="","",IF(OR($L86="Selesai",$L86="Batal"),"Tidak aktif",IF($S86&gt;=Referensi!$P$12,"KRITIS",IF($S86&gt;=Referensi!$P$13,"Tinggi",IF($S86&gt;=Referensi!$P$14,"Sedang","Rendah")))))</f>
        <v/>
      </c>
      <c r="U86" s="14"/>
      <c r="V86" s="15"/>
      <c r="W86" s="9" t="str">
        <f t="shared" si="3"/>
        <v/>
      </c>
    </row>
    <row r="87" spans="1:23" ht="31.5" customHeight="1">
      <c r="A87" s="8" t="str">
        <f t="shared" si="0"/>
        <v/>
      </c>
      <c r="B87" s="9" t="str">
        <f t="array" ref="B87">IF(OR($C87="",$I87="",$J87=""),"","JSI-"&amp;IFERROR(INDEX(Referensi!$B$5:$B$14,MATCH($I87,Referensi!$A$5:$A$14,0)),"???")&amp;"-"&amp;IFERROR(INDEX(Referensi!$E$5:$E$14,MATCH($J87,Referensi!$D$5:$D$14,0)),"???")&amp;"-"&amp;TEXT(COUNTIFS($I$5:$I87,$I87,$J$5:$J87,$J87),"000"))</f>
        <v/>
      </c>
      <c r="C87" s="10"/>
      <c r="D87" s="10"/>
      <c r="E87" s="10"/>
      <c r="F87" s="10"/>
      <c r="G87" s="10"/>
      <c r="H87" s="10"/>
      <c r="I87" s="10"/>
      <c r="J87" s="11"/>
      <c r="K87" s="10"/>
      <c r="L87" s="11"/>
      <c r="M87" s="12"/>
      <c r="N87" s="12"/>
      <c r="O87" s="12"/>
      <c r="P87" s="13" t="str">
        <f t="shared" ca="1" si="1"/>
        <v/>
      </c>
      <c r="Q87" s="13" t="str">
        <f t="shared" ca="1" si="2"/>
        <v/>
      </c>
      <c r="R87" s="8" t="str">
        <f>IF($C87="","",IF($O87="","Belum ada kontak",IF($P87&gt;Referensi!$P$8,"Segera follow up",IF($P87&gt;Referensi!$P$9,"Perlu dipantau","Terkini"))))</f>
        <v/>
      </c>
      <c r="S87" s="13" t="str">
        <f>IF($C87="","",IF(OR($L87="Selesai",$L87="Batal"),0,IF($Q87="",5,IF($Q87&lt;0,50,IF($Q87&lt;=Referensi!$P$5,40,IF($Q87&lt;=Referensi!$P$6,30,IF($Q87&lt;=Referensi!$P$7,20,10)))))+IF($O87="",25,IF($P87&gt;Referensi!$P$8,30,IF($P87&gt;Referensi!$P$9,20,5)))+IF($U87="",5,IF($U87&gt;=Referensi!$P$10,20,IF($U87&gt;=Referensi!$P$11,10,5)))+IF($L87="Tertunda",15,IF(OR($L87="Negosiasi",$L87="Penawaran"),12,IF($L87="Berjalan",8,IF($L87="Prospek",5,0))))))</f>
        <v/>
      </c>
      <c r="T87" s="8" t="str">
        <f>IF($C87="","",IF(OR($L87="Selesai",$L87="Batal"),"Tidak aktif",IF($S87&gt;=Referensi!$P$12,"KRITIS",IF($S87&gt;=Referensi!$P$13,"Tinggi",IF($S87&gt;=Referensi!$P$14,"Sedang","Rendah")))))</f>
        <v/>
      </c>
      <c r="U87" s="14"/>
      <c r="V87" s="15"/>
      <c r="W87" s="9" t="str">
        <f t="shared" si="3"/>
        <v/>
      </c>
    </row>
    <row r="88" spans="1:23" ht="31.5" customHeight="1">
      <c r="A88" s="8" t="str">
        <f t="shared" si="0"/>
        <v/>
      </c>
      <c r="B88" s="9" t="str">
        <f t="array" ref="B88">IF(OR($C88="",$I88="",$J88=""),"","JSI-"&amp;IFERROR(INDEX(Referensi!$B$5:$B$14,MATCH($I88,Referensi!$A$5:$A$14,0)),"???")&amp;"-"&amp;IFERROR(INDEX(Referensi!$E$5:$E$14,MATCH($J88,Referensi!$D$5:$D$14,0)),"???")&amp;"-"&amp;TEXT(COUNTIFS($I$5:$I88,$I88,$J$5:$J88,$J88),"000"))</f>
        <v/>
      </c>
      <c r="C88" s="10"/>
      <c r="D88" s="10"/>
      <c r="E88" s="10"/>
      <c r="F88" s="10"/>
      <c r="G88" s="10"/>
      <c r="H88" s="10"/>
      <c r="I88" s="10"/>
      <c r="J88" s="11"/>
      <c r="K88" s="10"/>
      <c r="L88" s="11"/>
      <c r="M88" s="12"/>
      <c r="N88" s="12"/>
      <c r="O88" s="12"/>
      <c r="P88" s="13" t="str">
        <f t="shared" ca="1" si="1"/>
        <v/>
      </c>
      <c r="Q88" s="13" t="str">
        <f t="shared" ca="1" si="2"/>
        <v/>
      </c>
      <c r="R88" s="8" t="str">
        <f>IF($C88="","",IF($O88="","Belum ada kontak",IF($P88&gt;Referensi!$P$8,"Segera follow up",IF($P88&gt;Referensi!$P$9,"Perlu dipantau","Terkini"))))</f>
        <v/>
      </c>
      <c r="S88" s="13" t="str">
        <f>IF($C88="","",IF(OR($L88="Selesai",$L88="Batal"),0,IF($Q88="",5,IF($Q88&lt;0,50,IF($Q88&lt;=Referensi!$P$5,40,IF($Q88&lt;=Referensi!$P$6,30,IF($Q88&lt;=Referensi!$P$7,20,10)))))+IF($O88="",25,IF($P88&gt;Referensi!$P$8,30,IF($P88&gt;Referensi!$P$9,20,5)))+IF($U88="",5,IF($U88&gt;=Referensi!$P$10,20,IF($U88&gt;=Referensi!$P$11,10,5)))+IF($L88="Tertunda",15,IF(OR($L88="Negosiasi",$L88="Penawaran"),12,IF($L88="Berjalan",8,IF($L88="Prospek",5,0))))))</f>
        <v/>
      </c>
      <c r="T88" s="8" t="str">
        <f>IF($C88="","",IF(OR($L88="Selesai",$L88="Batal"),"Tidak aktif",IF($S88&gt;=Referensi!$P$12,"KRITIS",IF($S88&gt;=Referensi!$P$13,"Tinggi",IF($S88&gt;=Referensi!$P$14,"Sedang","Rendah")))))</f>
        <v/>
      </c>
      <c r="U88" s="14"/>
      <c r="V88" s="15"/>
      <c r="W88" s="9" t="str">
        <f t="shared" si="3"/>
        <v/>
      </c>
    </row>
    <row r="89" spans="1:23" ht="31.5" customHeight="1">
      <c r="A89" s="8" t="str">
        <f t="shared" si="0"/>
        <v/>
      </c>
      <c r="B89" s="9" t="str">
        <f t="array" ref="B89">IF(OR($C89="",$I89="",$J89=""),"","JSI-"&amp;IFERROR(INDEX(Referensi!$B$5:$B$14,MATCH($I89,Referensi!$A$5:$A$14,0)),"???")&amp;"-"&amp;IFERROR(INDEX(Referensi!$E$5:$E$14,MATCH($J89,Referensi!$D$5:$D$14,0)),"???")&amp;"-"&amp;TEXT(COUNTIFS($I$5:$I89,$I89,$J$5:$J89,$J89),"000"))</f>
        <v/>
      </c>
      <c r="C89" s="10"/>
      <c r="D89" s="10"/>
      <c r="E89" s="10"/>
      <c r="F89" s="10"/>
      <c r="G89" s="10"/>
      <c r="H89" s="10"/>
      <c r="I89" s="10"/>
      <c r="J89" s="11"/>
      <c r="K89" s="10"/>
      <c r="L89" s="11"/>
      <c r="M89" s="12"/>
      <c r="N89" s="12"/>
      <c r="O89" s="12"/>
      <c r="P89" s="13" t="str">
        <f t="shared" ca="1" si="1"/>
        <v/>
      </c>
      <c r="Q89" s="13" t="str">
        <f t="shared" ca="1" si="2"/>
        <v/>
      </c>
      <c r="R89" s="8" t="str">
        <f>IF($C89="","",IF($O89="","Belum ada kontak",IF($P89&gt;Referensi!$P$8,"Segera follow up",IF($P89&gt;Referensi!$P$9,"Perlu dipantau","Terkini"))))</f>
        <v/>
      </c>
      <c r="S89" s="13" t="str">
        <f>IF($C89="","",IF(OR($L89="Selesai",$L89="Batal"),0,IF($Q89="",5,IF($Q89&lt;0,50,IF($Q89&lt;=Referensi!$P$5,40,IF($Q89&lt;=Referensi!$P$6,30,IF($Q89&lt;=Referensi!$P$7,20,10)))))+IF($O89="",25,IF($P89&gt;Referensi!$P$8,30,IF($P89&gt;Referensi!$P$9,20,5)))+IF($U89="",5,IF($U89&gt;=Referensi!$P$10,20,IF($U89&gt;=Referensi!$P$11,10,5)))+IF($L89="Tertunda",15,IF(OR($L89="Negosiasi",$L89="Penawaran"),12,IF($L89="Berjalan",8,IF($L89="Prospek",5,0))))))</f>
        <v/>
      </c>
      <c r="T89" s="8" t="str">
        <f>IF($C89="","",IF(OR($L89="Selesai",$L89="Batal"),"Tidak aktif",IF($S89&gt;=Referensi!$P$12,"KRITIS",IF($S89&gt;=Referensi!$P$13,"Tinggi",IF($S89&gt;=Referensi!$P$14,"Sedang","Rendah")))))</f>
        <v/>
      </c>
      <c r="U89" s="14"/>
      <c r="V89" s="15"/>
      <c r="W89" s="9" t="str">
        <f t="shared" si="3"/>
        <v/>
      </c>
    </row>
    <row r="90" spans="1:23" ht="31.5" customHeight="1">
      <c r="A90" s="8" t="str">
        <f t="shared" si="0"/>
        <v/>
      </c>
      <c r="B90" s="9" t="str">
        <f t="array" ref="B90">IF(OR($C90="",$I90="",$J90=""),"","JSI-"&amp;IFERROR(INDEX(Referensi!$B$5:$B$14,MATCH($I90,Referensi!$A$5:$A$14,0)),"???")&amp;"-"&amp;IFERROR(INDEX(Referensi!$E$5:$E$14,MATCH($J90,Referensi!$D$5:$D$14,0)),"???")&amp;"-"&amp;TEXT(COUNTIFS($I$5:$I90,$I90,$J$5:$J90,$J90),"000"))</f>
        <v/>
      </c>
      <c r="C90" s="10"/>
      <c r="D90" s="10"/>
      <c r="E90" s="10"/>
      <c r="F90" s="10"/>
      <c r="G90" s="10"/>
      <c r="H90" s="10"/>
      <c r="I90" s="10"/>
      <c r="J90" s="11"/>
      <c r="K90" s="10"/>
      <c r="L90" s="11"/>
      <c r="M90" s="12"/>
      <c r="N90" s="12"/>
      <c r="O90" s="12"/>
      <c r="P90" s="13" t="str">
        <f t="shared" ca="1" si="1"/>
        <v/>
      </c>
      <c r="Q90" s="13" t="str">
        <f t="shared" ca="1" si="2"/>
        <v/>
      </c>
      <c r="R90" s="8" t="str">
        <f>IF($C90="","",IF($O90="","Belum ada kontak",IF($P90&gt;Referensi!$P$8,"Segera follow up",IF($P90&gt;Referensi!$P$9,"Perlu dipantau","Terkini"))))</f>
        <v/>
      </c>
      <c r="S90" s="13" t="str">
        <f>IF($C90="","",IF(OR($L90="Selesai",$L90="Batal"),0,IF($Q90="",5,IF($Q90&lt;0,50,IF($Q90&lt;=Referensi!$P$5,40,IF($Q90&lt;=Referensi!$P$6,30,IF($Q90&lt;=Referensi!$P$7,20,10)))))+IF($O90="",25,IF($P90&gt;Referensi!$P$8,30,IF($P90&gt;Referensi!$P$9,20,5)))+IF($U90="",5,IF($U90&gt;=Referensi!$P$10,20,IF($U90&gt;=Referensi!$P$11,10,5)))+IF($L90="Tertunda",15,IF(OR($L90="Negosiasi",$L90="Penawaran"),12,IF($L90="Berjalan",8,IF($L90="Prospek",5,0))))))</f>
        <v/>
      </c>
      <c r="T90" s="8" t="str">
        <f>IF($C90="","",IF(OR($L90="Selesai",$L90="Batal"),"Tidak aktif",IF($S90&gt;=Referensi!$P$12,"KRITIS",IF($S90&gt;=Referensi!$P$13,"Tinggi",IF($S90&gt;=Referensi!$P$14,"Sedang","Rendah")))))</f>
        <v/>
      </c>
      <c r="U90" s="14"/>
      <c r="V90" s="15"/>
      <c r="W90" s="9" t="str">
        <f t="shared" si="3"/>
        <v/>
      </c>
    </row>
    <row r="91" spans="1:23" ht="31.5" customHeight="1">
      <c r="A91" s="8" t="str">
        <f t="shared" si="0"/>
        <v/>
      </c>
      <c r="B91" s="9" t="str">
        <f t="array" ref="B91">IF(OR($C91="",$I91="",$J91=""),"","JSI-"&amp;IFERROR(INDEX(Referensi!$B$5:$B$14,MATCH($I91,Referensi!$A$5:$A$14,0)),"???")&amp;"-"&amp;IFERROR(INDEX(Referensi!$E$5:$E$14,MATCH($J91,Referensi!$D$5:$D$14,0)),"???")&amp;"-"&amp;TEXT(COUNTIFS($I$5:$I91,$I91,$J$5:$J91,$J91),"000"))</f>
        <v/>
      </c>
      <c r="C91" s="10"/>
      <c r="D91" s="10"/>
      <c r="E91" s="10"/>
      <c r="F91" s="10"/>
      <c r="G91" s="10"/>
      <c r="H91" s="10"/>
      <c r="I91" s="10"/>
      <c r="J91" s="11"/>
      <c r="K91" s="10"/>
      <c r="L91" s="11"/>
      <c r="M91" s="12"/>
      <c r="N91" s="12"/>
      <c r="O91" s="12"/>
      <c r="P91" s="13" t="str">
        <f t="shared" ca="1" si="1"/>
        <v/>
      </c>
      <c r="Q91" s="13" t="str">
        <f t="shared" ca="1" si="2"/>
        <v/>
      </c>
      <c r="R91" s="8" t="str">
        <f>IF($C91="","",IF($O91="","Belum ada kontak",IF($P91&gt;Referensi!$P$8,"Segera follow up",IF($P91&gt;Referensi!$P$9,"Perlu dipantau","Terkini"))))</f>
        <v/>
      </c>
      <c r="S91" s="13" t="str">
        <f>IF($C91="","",IF(OR($L91="Selesai",$L91="Batal"),0,IF($Q91="",5,IF($Q91&lt;0,50,IF($Q91&lt;=Referensi!$P$5,40,IF($Q91&lt;=Referensi!$P$6,30,IF($Q91&lt;=Referensi!$P$7,20,10)))))+IF($O91="",25,IF($P91&gt;Referensi!$P$8,30,IF($P91&gt;Referensi!$P$9,20,5)))+IF($U91="",5,IF($U91&gt;=Referensi!$P$10,20,IF($U91&gt;=Referensi!$P$11,10,5)))+IF($L91="Tertunda",15,IF(OR($L91="Negosiasi",$L91="Penawaran"),12,IF($L91="Berjalan",8,IF($L91="Prospek",5,0))))))</f>
        <v/>
      </c>
      <c r="T91" s="8" t="str">
        <f>IF($C91="","",IF(OR($L91="Selesai",$L91="Batal"),"Tidak aktif",IF($S91&gt;=Referensi!$P$12,"KRITIS",IF($S91&gt;=Referensi!$P$13,"Tinggi",IF($S91&gt;=Referensi!$P$14,"Sedang","Rendah")))))</f>
        <v/>
      </c>
      <c r="U91" s="14"/>
      <c r="V91" s="15"/>
      <c r="W91" s="9" t="str">
        <f t="shared" si="3"/>
        <v/>
      </c>
    </row>
    <row r="92" spans="1:23" ht="31.5" customHeight="1">
      <c r="A92" s="8" t="str">
        <f t="shared" si="0"/>
        <v/>
      </c>
      <c r="B92" s="9" t="str">
        <f t="array" ref="B92">IF(OR($C92="",$I92="",$J92=""),"","JSI-"&amp;IFERROR(INDEX(Referensi!$B$5:$B$14,MATCH($I92,Referensi!$A$5:$A$14,0)),"???")&amp;"-"&amp;IFERROR(INDEX(Referensi!$E$5:$E$14,MATCH($J92,Referensi!$D$5:$D$14,0)),"???")&amp;"-"&amp;TEXT(COUNTIFS($I$5:$I92,$I92,$J$5:$J92,$J92),"000"))</f>
        <v/>
      </c>
      <c r="C92" s="10"/>
      <c r="D92" s="10"/>
      <c r="E92" s="10"/>
      <c r="F92" s="10"/>
      <c r="G92" s="10"/>
      <c r="H92" s="10"/>
      <c r="I92" s="10"/>
      <c r="J92" s="11"/>
      <c r="K92" s="10"/>
      <c r="L92" s="11"/>
      <c r="M92" s="12"/>
      <c r="N92" s="12"/>
      <c r="O92" s="12"/>
      <c r="P92" s="13" t="str">
        <f t="shared" ca="1" si="1"/>
        <v/>
      </c>
      <c r="Q92" s="13" t="str">
        <f t="shared" ca="1" si="2"/>
        <v/>
      </c>
      <c r="R92" s="8" t="str">
        <f>IF($C92="","",IF($O92="","Belum ada kontak",IF($P92&gt;Referensi!$P$8,"Segera follow up",IF($P92&gt;Referensi!$P$9,"Perlu dipantau","Terkini"))))</f>
        <v/>
      </c>
      <c r="S92" s="13" t="str">
        <f>IF($C92="","",IF(OR($L92="Selesai",$L92="Batal"),0,IF($Q92="",5,IF($Q92&lt;0,50,IF($Q92&lt;=Referensi!$P$5,40,IF($Q92&lt;=Referensi!$P$6,30,IF($Q92&lt;=Referensi!$P$7,20,10)))))+IF($O92="",25,IF($P92&gt;Referensi!$P$8,30,IF($P92&gt;Referensi!$P$9,20,5)))+IF($U92="",5,IF($U92&gt;=Referensi!$P$10,20,IF($U92&gt;=Referensi!$P$11,10,5)))+IF($L92="Tertunda",15,IF(OR($L92="Negosiasi",$L92="Penawaran"),12,IF($L92="Berjalan",8,IF($L92="Prospek",5,0))))))</f>
        <v/>
      </c>
      <c r="T92" s="8" t="str">
        <f>IF($C92="","",IF(OR($L92="Selesai",$L92="Batal"),"Tidak aktif",IF($S92&gt;=Referensi!$P$12,"KRITIS",IF($S92&gt;=Referensi!$P$13,"Tinggi",IF($S92&gt;=Referensi!$P$14,"Sedang","Rendah")))))</f>
        <v/>
      </c>
      <c r="U92" s="14"/>
      <c r="V92" s="15"/>
      <c r="W92" s="9" t="str">
        <f t="shared" si="3"/>
        <v/>
      </c>
    </row>
    <row r="93" spans="1:23" ht="31.5" customHeight="1">
      <c r="A93" s="8" t="str">
        <f t="shared" si="0"/>
        <v/>
      </c>
      <c r="B93" s="9" t="str">
        <f t="array" ref="B93">IF(OR($C93="",$I93="",$J93=""),"","JSI-"&amp;IFERROR(INDEX(Referensi!$B$5:$B$14,MATCH($I93,Referensi!$A$5:$A$14,0)),"???")&amp;"-"&amp;IFERROR(INDEX(Referensi!$E$5:$E$14,MATCH($J93,Referensi!$D$5:$D$14,0)),"???")&amp;"-"&amp;TEXT(COUNTIFS($I$5:$I93,$I93,$J$5:$J93,$J93),"000"))</f>
        <v/>
      </c>
      <c r="C93" s="10"/>
      <c r="D93" s="10"/>
      <c r="E93" s="10"/>
      <c r="F93" s="10"/>
      <c r="G93" s="10"/>
      <c r="H93" s="10"/>
      <c r="I93" s="10"/>
      <c r="J93" s="11"/>
      <c r="K93" s="10"/>
      <c r="L93" s="11"/>
      <c r="M93" s="12"/>
      <c r="N93" s="12"/>
      <c r="O93" s="12"/>
      <c r="P93" s="13" t="str">
        <f t="shared" ca="1" si="1"/>
        <v/>
      </c>
      <c r="Q93" s="13" t="str">
        <f t="shared" ca="1" si="2"/>
        <v/>
      </c>
      <c r="R93" s="8" t="str">
        <f>IF($C93="","",IF($O93="","Belum ada kontak",IF($P93&gt;Referensi!$P$8,"Segera follow up",IF($P93&gt;Referensi!$P$9,"Perlu dipantau","Terkini"))))</f>
        <v/>
      </c>
      <c r="S93" s="13" t="str">
        <f>IF($C93="","",IF(OR($L93="Selesai",$L93="Batal"),0,IF($Q93="",5,IF($Q93&lt;0,50,IF($Q93&lt;=Referensi!$P$5,40,IF($Q93&lt;=Referensi!$P$6,30,IF($Q93&lt;=Referensi!$P$7,20,10)))))+IF($O93="",25,IF($P93&gt;Referensi!$P$8,30,IF($P93&gt;Referensi!$P$9,20,5)))+IF($U93="",5,IF($U93&gt;=Referensi!$P$10,20,IF($U93&gt;=Referensi!$P$11,10,5)))+IF($L93="Tertunda",15,IF(OR($L93="Negosiasi",$L93="Penawaran"),12,IF($L93="Berjalan",8,IF($L93="Prospek",5,0))))))</f>
        <v/>
      </c>
      <c r="T93" s="8" t="str">
        <f>IF($C93="","",IF(OR($L93="Selesai",$L93="Batal"),"Tidak aktif",IF($S93&gt;=Referensi!$P$12,"KRITIS",IF($S93&gt;=Referensi!$P$13,"Tinggi",IF($S93&gt;=Referensi!$P$14,"Sedang","Rendah")))))</f>
        <v/>
      </c>
      <c r="U93" s="14"/>
      <c r="V93" s="15"/>
      <c r="W93" s="9" t="str">
        <f t="shared" si="3"/>
        <v/>
      </c>
    </row>
    <row r="94" spans="1:23" ht="31.5" customHeight="1">
      <c r="A94" s="8" t="str">
        <f t="shared" si="0"/>
        <v/>
      </c>
      <c r="B94" s="9" t="str">
        <f t="array" ref="B94">IF(OR($C94="",$I94="",$J94=""),"","JSI-"&amp;IFERROR(INDEX(Referensi!$B$5:$B$14,MATCH($I94,Referensi!$A$5:$A$14,0)),"???")&amp;"-"&amp;IFERROR(INDEX(Referensi!$E$5:$E$14,MATCH($J94,Referensi!$D$5:$D$14,0)),"???")&amp;"-"&amp;TEXT(COUNTIFS($I$5:$I94,$I94,$J$5:$J94,$J94),"000"))</f>
        <v/>
      </c>
      <c r="C94" s="10"/>
      <c r="D94" s="10"/>
      <c r="E94" s="10"/>
      <c r="F94" s="10"/>
      <c r="G94" s="10"/>
      <c r="H94" s="10"/>
      <c r="I94" s="10"/>
      <c r="J94" s="11"/>
      <c r="K94" s="10"/>
      <c r="L94" s="11"/>
      <c r="M94" s="12"/>
      <c r="N94" s="12"/>
      <c r="O94" s="12"/>
      <c r="P94" s="13" t="str">
        <f t="shared" ca="1" si="1"/>
        <v/>
      </c>
      <c r="Q94" s="13" t="str">
        <f t="shared" ca="1" si="2"/>
        <v/>
      </c>
      <c r="R94" s="8" t="str">
        <f>IF($C94="","",IF($O94="","Belum ada kontak",IF($P94&gt;Referensi!$P$8,"Segera follow up",IF($P94&gt;Referensi!$P$9,"Perlu dipantau","Terkini"))))</f>
        <v/>
      </c>
      <c r="S94" s="13" t="str">
        <f>IF($C94="","",IF(OR($L94="Selesai",$L94="Batal"),0,IF($Q94="",5,IF($Q94&lt;0,50,IF($Q94&lt;=Referensi!$P$5,40,IF($Q94&lt;=Referensi!$P$6,30,IF($Q94&lt;=Referensi!$P$7,20,10)))))+IF($O94="",25,IF($P94&gt;Referensi!$P$8,30,IF($P94&gt;Referensi!$P$9,20,5)))+IF($U94="",5,IF($U94&gt;=Referensi!$P$10,20,IF($U94&gt;=Referensi!$P$11,10,5)))+IF($L94="Tertunda",15,IF(OR($L94="Negosiasi",$L94="Penawaran"),12,IF($L94="Berjalan",8,IF($L94="Prospek",5,0))))))</f>
        <v/>
      </c>
      <c r="T94" s="8" t="str">
        <f>IF($C94="","",IF(OR($L94="Selesai",$L94="Batal"),"Tidak aktif",IF($S94&gt;=Referensi!$P$12,"KRITIS",IF($S94&gt;=Referensi!$P$13,"Tinggi",IF($S94&gt;=Referensi!$P$14,"Sedang","Rendah")))))</f>
        <v/>
      </c>
      <c r="U94" s="14"/>
      <c r="V94" s="15"/>
      <c r="W94" s="9" t="str">
        <f t="shared" si="3"/>
        <v/>
      </c>
    </row>
    <row r="95" spans="1:23" ht="31.5" customHeight="1">
      <c r="A95" s="8" t="str">
        <f t="shared" si="0"/>
        <v/>
      </c>
      <c r="B95" s="9" t="str">
        <f t="array" ref="B95">IF(OR($C95="",$I95="",$J95=""),"","JSI-"&amp;IFERROR(INDEX(Referensi!$B$5:$B$14,MATCH($I95,Referensi!$A$5:$A$14,0)),"???")&amp;"-"&amp;IFERROR(INDEX(Referensi!$E$5:$E$14,MATCH($J95,Referensi!$D$5:$D$14,0)),"???")&amp;"-"&amp;TEXT(COUNTIFS($I$5:$I95,$I95,$J$5:$J95,$J95),"000"))</f>
        <v/>
      </c>
      <c r="C95" s="10"/>
      <c r="D95" s="10"/>
      <c r="E95" s="10"/>
      <c r="F95" s="10"/>
      <c r="G95" s="10"/>
      <c r="H95" s="10"/>
      <c r="I95" s="10"/>
      <c r="J95" s="11"/>
      <c r="K95" s="10"/>
      <c r="L95" s="11"/>
      <c r="M95" s="12"/>
      <c r="N95" s="12"/>
      <c r="O95" s="12"/>
      <c r="P95" s="13" t="str">
        <f t="shared" ca="1" si="1"/>
        <v/>
      </c>
      <c r="Q95" s="13" t="str">
        <f t="shared" ca="1" si="2"/>
        <v/>
      </c>
      <c r="R95" s="8" t="str">
        <f>IF($C95="","",IF($O95="","Belum ada kontak",IF($P95&gt;Referensi!$P$8,"Segera follow up",IF($P95&gt;Referensi!$P$9,"Perlu dipantau","Terkini"))))</f>
        <v/>
      </c>
      <c r="S95" s="13" t="str">
        <f>IF($C95="","",IF(OR($L95="Selesai",$L95="Batal"),0,IF($Q95="",5,IF($Q95&lt;0,50,IF($Q95&lt;=Referensi!$P$5,40,IF($Q95&lt;=Referensi!$P$6,30,IF($Q95&lt;=Referensi!$P$7,20,10)))))+IF($O95="",25,IF($P95&gt;Referensi!$P$8,30,IF($P95&gt;Referensi!$P$9,20,5)))+IF($U95="",5,IF($U95&gt;=Referensi!$P$10,20,IF($U95&gt;=Referensi!$P$11,10,5)))+IF($L95="Tertunda",15,IF(OR($L95="Negosiasi",$L95="Penawaran"),12,IF($L95="Berjalan",8,IF($L95="Prospek",5,0))))))</f>
        <v/>
      </c>
      <c r="T95" s="8" t="str">
        <f>IF($C95="","",IF(OR($L95="Selesai",$L95="Batal"),"Tidak aktif",IF($S95&gt;=Referensi!$P$12,"KRITIS",IF($S95&gt;=Referensi!$P$13,"Tinggi",IF($S95&gt;=Referensi!$P$14,"Sedang","Rendah")))))</f>
        <v/>
      </c>
      <c r="U95" s="14"/>
      <c r="V95" s="15"/>
      <c r="W95" s="9" t="str">
        <f t="shared" si="3"/>
        <v/>
      </c>
    </row>
    <row r="96" spans="1:23" ht="31.5" customHeight="1">
      <c r="A96" s="8" t="str">
        <f t="shared" si="0"/>
        <v/>
      </c>
      <c r="B96" s="9" t="str">
        <f t="array" ref="B96">IF(OR($C96="",$I96="",$J96=""),"","JSI-"&amp;IFERROR(INDEX(Referensi!$B$5:$B$14,MATCH($I96,Referensi!$A$5:$A$14,0)),"???")&amp;"-"&amp;IFERROR(INDEX(Referensi!$E$5:$E$14,MATCH($J96,Referensi!$D$5:$D$14,0)),"???")&amp;"-"&amp;TEXT(COUNTIFS($I$5:$I96,$I96,$J$5:$J96,$J96),"000"))</f>
        <v/>
      </c>
      <c r="C96" s="10"/>
      <c r="D96" s="10"/>
      <c r="E96" s="10"/>
      <c r="F96" s="10"/>
      <c r="G96" s="10"/>
      <c r="H96" s="10"/>
      <c r="I96" s="10"/>
      <c r="J96" s="11"/>
      <c r="K96" s="10"/>
      <c r="L96" s="11"/>
      <c r="M96" s="12"/>
      <c r="N96" s="12"/>
      <c r="O96" s="12"/>
      <c r="P96" s="13" t="str">
        <f t="shared" ca="1" si="1"/>
        <v/>
      </c>
      <c r="Q96" s="13" t="str">
        <f t="shared" ca="1" si="2"/>
        <v/>
      </c>
      <c r="R96" s="8" t="str">
        <f>IF($C96="","",IF($O96="","Belum ada kontak",IF($P96&gt;Referensi!$P$8,"Segera follow up",IF($P96&gt;Referensi!$P$9,"Perlu dipantau","Terkini"))))</f>
        <v/>
      </c>
      <c r="S96" s="13" t="str">
        <f>IF($C96="","",IF(OR($L96="Selesai",$L96="Batal"),0,IF($Q96="",5,IF($Q96&lt;0,50,IF($Q96&lt;=Referensi!$P$5,40,IF($Q96&lt;=Referensi!$P$6,30,IF($Q96&lt;=Referensi!$P$7,20,10)))))+IF($O96="",25,IF($P96&gt;Referensi!$P$8,30,IF($P96&gt;Referensi!$P$9,20,5)))+IF($U96="",5,IF($U96&gt;=Referensi!$P$10,20,IF($U96&gt;=Referensi!$P$11,10,5)))+IF($L96="Tertunda",15,IF(OR($L96="Negosiasi",$L96="Penawaran"),12,IF($L96="Berjalan",8,IF($L96="Prospek",5,0))))))</f>
        <v/>
      </c>
      <c r="T96" s="8" t="str">
        <f>IF($C96="","",IF(OR($L96="Selesai",$L96="Batal"),"Tidak aktif",IF($S96&gt;=Referensi!$P$12,"KRITIS",IF($S96&gt;=Referensi!$P$13,"Tinggi",IF($S96&gt;=Referensi!$P$14,"Sedang","Rendah")))))</f>
        <v/>
      </c>
      <c r="U96" s="14"/>
      <c r="V96" s="15"/>
      <c r="W96" s="9" t="str">
        <f t="shared" si="3"/>
        <v/>
      </c>
    </row>
    <row r="97" spans="1:23" ht="31.5" customHeight="1">
      <c r="A97" s="8" t="str">
        <f t="shared" si="0"/>
        <v/>
      </c>
      <c r="B97" s="9" t="str">
        <f t="array" ref="B97">IF(OR($C97="",$I97="",$J97=""),"","JSI-"&amp;IFERROR(INDEX(Referensi!$B$5:$B$14,MATCH($I97,Referensi!$A$5:$A$14,0)),"???")&amp;"-"&amp;IFERROR(INDEX(Referensi!$E$5:$E$14,MATCH($J97,Referensi!$D$5:$D$14,0)),"???")&amp;"-"&amp;TEXT(COUNTIFS($I$5:$I97,$I97,$J$5:$J97,$J97),"000"))</f>
        <v/>
      </c>
      <c r="C97" s="10"/>
      <c r="D97" s="10"/>
      <c r="E97" s="10"/>
      <c r="F97" s="10"/>
      <c r="G97" s="10"/>
      <c r="H97" s="10"/>
      <c r="I97" s="10"/>
      <c r="J97" s="11"/>
      <c r="K97" s="10"/>
      <c r="L97" s="11"/>
      <c r="M97" s="12"/>
      <c r="N97" s="12"/>
      <c r="O97" s="12"/>
      <c r="P97" s="13" t="str">
        <f t="shared" ca="1" si="1"/>
        <v/>
      </c>
      <c r="Q97" s="13" t="str">
        <f t="shared" ca="1" si="2"/>
        <v/>
      </c>
      <c r="R97" s="8" t="str">
        <f>IF($C97="","",IF($O97="","Belum ada kontak",IF($P97&gt;Referensi!$P$8,"Segera follow up",IF($P97&gt;Referensi!$P$9,"Perlu dipantau","Terkini"))))</f>
        <v/>
      </c>
      <c r="S97" s="13" t="str">
        <f>IF($C97="","",IF(OR($L97="Selesai",$L97="Batal"),0,IF($Q97="",5,IF($Q97&lt;0,50,IF($Q97&lt;=Referensi!$P$5,40,IF($Q97&lt;=Referensi!$P$6,30,IF($Q97&lt;=Referensi!$P$7,20,10)))))+IF($O97="",25,IF($P97&gt;Referensi!$P$8,30,IF($P97&gt;Referensi!$P$9,20,5)))+IF($U97="",5,IF($U97&gt;=Referensi!$P$10,20,IF($U97&gt;=Referensi!$P$11,10,5)))+IF($L97="Tertunda",15,IF(OR($L97="Negosiasi",$L97="Penawaran"),12,IF($L97="Berjalan",8,IF($L97="Prospek",5,0))))))</f>
        <v/>
      </c>
      <c r="T97" s="8" t="str">
        <f>IF($C97="","",IF(OR($L97="Selesai",$L97="Batal"),"Tidak aktif",IF($S97&gt;=Referensi!$P$12,"KRITIS",IF($S97&gt;=Referensi!$P$13,"Tinggi",IF($S97&gt;=Referensi!$P$14,"Sedang","Rendah")))))</f>
        <v/>
      </c>
      <c r="U97" s="14"/>
      <c r="V97" s="15"/>
      <c r="W97" s="9" t="str">
        <f t="shared" si="3"/>
        <v/>
      </c>
    </row>
    <row r="98" spans="1:23" ht="31.5" customHeight="1">
      <c r="A98" s="8" t="str">
        <f t="shared" si="0"/>
        <v/>
      </c>
      <c r="B98" s="9" t="str">
        <f t="array" ref="B98">IF(OR($C98="",$I98="",$J98=""),"","JSI-"&amp;IFERROR(INDEX(Referensi!$B$5:$B$14,MATCH($I98,Referensi!$A$5:$A$14,0)),"???")&amp;"-"&amp;IFERROR(INDEX(Referensi!$E$5:$E$14,MATCH($J98,Referensi!$D$5:$D$14,0)),"???")&amp;"-"&amp;TEXT(COUNTIFS($I$5:$I98,$I98,$J$5:$J98,$J98),"000"))</f>
        <v/>
      </c>
      <c r="C98" s="10"/>
      <c r="D98" s="10"/>
      <c r="E98" s="10"/>
      <c r="F98" s="10"/>
      <c r="G98" s="10"/>
      <c r="H98" s="10"/>
      <c r="I98" s="10"/>
      <c r="J98" s="11"/>
      <c r="K98" s="10"/>
      <c r="L98" s="11"/>
      <c r="M98" s="12"/>
      <c r="N98" s="12"/>
      <c r="O98" s="12"/>
      <c r="P98" s="13" t="str">
        <f t="shared" ca="1" si="1"/>
        <v/>
      </c>
      <c r="Q98" s="13" t="str">
        <f t="shared" ca="1" si="2"/>
        <v/>
      </c>
      <c r="R98" s="8" t="str">
        <f>IF($C98="","",IF($O98="","Belum ada kontak",IF($P98&gt;Referensi!$P$8,"Segera follow up",IF($P98&gt;Referensi!$P$9,"Perlu dipantau","Terkini"))))</f>
        <v/>
      </c>
      <c r="S98" s="13" t="str">
        <f>IF($C98="","",IF(OR($L98="Selesai",$L98="Batal"),0,IF($Q98="",5,IF($Q98&lt;0,50,IF($Q98&lt;=Referensi!$P$5,40,IF($Q98&lt;=Referensi!$P$6,30,IF($Q98&lt;=Referensi!$P$7,20,10)))))+IF($O98="",25,IF($P98&gt;Referensi!$P$8,30,IF($P98&gt;Referensi!$P$9,20,5)))+IF($U98="",5,IF($U98&gt;=Referensi!$P$10,20,IF($U98&gt;=Referensi!$P$11,10,5)))+IF($L98="Tertunda",15,IF(OR($L98="Negosiasi",$L98="Penawaran"),12,IF($L98="Berjalan",8,IF($L98="Prospek",5,0))))))</f>
        <v/>
      </c>
      <c r="T98" s="8" t="str">
        <f>IF($C98="","",IF(OR($L98="Selesai",$L98="Batal"),"Tidak aktif",IF($S98&gt;=Referensi!$P$12,"KRITIS",IF($S98&gt;=Referensi!$P$13,"Tinggi",IF($S98&gt;=Referensi!$P$14,"Sedang","Rendah")))))</f>
        <v/>
      </c>
      <c r="U98" s="14"/>
      <c r="V98" s="15"/>
      <c r="W98" s="9" t="str">
        <f t="shared" si="3"/>
        <v/>
      </c>
    </row>
    <row r="99" spans="1:23" ht="31.5" customHeight="1">
      <c r="A99" s="8" t="str">
        <f t="shared" si="0"/>
        <v/>
      </c>
      <c r="B99" s="9" t="str">
        <f t="array" ref="B99">IF(OR($C99="",$I99="",$J99=""),"","JSI-"&amp;IFERROR(INDEX(Referensi!$B$5:$B$14,MATCH($I99,Referensi!$A$5:$A$14,0)),"???")&amp;"-"&amp;IFERROR(INDEX(Referensi!$E$5:$E$14,MATCH($J99,Referensi!$D$5:$D$14,0)),"???")&amp;"-"&amp;TEXT(COUNTIFS($I$5:$I99,$I99,$J$5:$J99,$J99),"000"))</f>
        <v/>
      </c>
      <c r="C99" s="10"/>
      <c r="D99" s="10"/>
      <c r="E99" s="10"/>
      <c r="F99" s="10"/>
      <c r="G99" s="10"/>
      <c r="H99" s="10"/>
      <c r="I99" s="10"/>
      <c r="J99" s="11"/>
      <c r="K99" s="10"/>
      <c r="L99" s="11"/>
      <c r="M99" s="12"/>
      <c r="N99" s="12"/>
      <c r="O99" s="12"/>
      <c r="P99" s="13" t="str">
        <f t="shared" ca="1" si="1"/>
        <v/>
      </c>
      <c r="Q99" s="13" t="str">
        <f t="shared" ca="1" si="2"/>
        <v/>
      </c>
      <c r="R99" s="8" t="str">
        <f>IF($C99="","",IF($O99="","Belum ada kontak",IF($P99&gt;Referensi!$P$8,"Segera follow up",IF($P99&gt;Referensi!$P$9,"Perlu dipantau","Terkini"))))</f>
        <v/>
      </c>
      <c r="S99" s="13" t="str">
        <f>IF($C99="","",IF(OR($L99="Selesai",$L99="Batal"),0,IF($Q99="",5,IF($Q99&lt;0,50,IF($Q99&lt;=Referensi!$P$5,40,IF($Q99&lt;=Referensi!$P$6,30,IF($Q99&lt;=Referensi!$P$7,20,10)))))+IF($O99="",25,IF($P99&gt;Referensi!$P$8,30,IF($P99&gt;Referensi!$P$9,20,5)))+IF($U99="",5,IF($U99&gt;=Referensi!$P$10,20,IF($U99&gt;=Referensi!$P$11,10,5)))+IF($L99="Tertunda",15,IF(OR($L99="Negosiasi",$L99="Penawaran"),12,IF($L99="Berjalan",8,IF($L99="Prospek",5,0))))))</f>
        <v/>
      </c>
      <c r="T99" s="8" t="str">
        <f>IF($C99="","",IF(OR($L99="Selesai",$L99="Batal"),"Tidak aktif",IF($S99&gt;=Referensi!$P$12,"KRITIS",IF($S99&gt;=Referensi!$P$13,"Tinggi",IF($S99&gt;=Referensi!$P$14,"Sedang","Rendah")))))</f>
        <v/>
      </c>
      <c r="U99" s="14"/>
      <c r="V99" s="15"/>
      <c r="W99" s="9" t="str">
        <f t="shared" si="3"/>
        <v/>
      </c>
    </row>
    <row r="100" spans="1:23" ht="31.5" customHeight="1">
      <c r="A100" s="8" t="str">
        <f t="shared" si="0"/>
        <v/>
      </c>
      <c r="B100" s="9" t="str">
        <f t="array" ref="B100">IF(OR($C100="",$I100="",$J100=""),"","JSI-"&amp;IFERROR(INDEX(Referensi!$B$5:$B$14,MATCH($I100,Referensi!$A$5:$A$14,0)),"???")&amp;"-"&amp;IFERROR(INDEX(Referensi!$E$5:$E$14,MATCH($J100,Referensi!$D$5:$D$14,0)),"???")&amp;"-"&amp;TEXT(COUNTIFS($I$5:$I100,$I100,$J$5:$J100,$J100),"000"))</f>
        <v/>
      </c>
      <c r="C100" s="10"/>
      <c r="D100" s="10"/>
      <c r="E100" s="10"/>
      <c r="F100" s="10"/>
      <c r="G100" s="10"/>
      <c r="H100" s="10"/>
      <c r="I100" s="10"/>
      <c r="J100" s="11"/>
      <c r="K100" s="10"/>
      <c r="L100" s="11"/>
      <c r="M100" s="12"/>
      <c r="N100" s="12"/>
      <c r="O100" s="12"/>
      <c r="P100" s="13" t="str">
        <f t="shared" ca="1" si="1"/>
        <v/>
      </c>
      <c r="Q100" s="13" t="str">
        <f t="shared" ca="1" si="2"/>
        <v/>
      </c>
      <c r="R100" s="8" t="str">
        <f>IF($C100="","",IF($O100="","Belum ada kontak",IF($P100&gt;Referensi!$P$8,"Segera follow up",IF($P100&gt;Referensi!$P$9,"Perlu dipantau","Terkini"))))</f>
        <v/>
      </c>
      <c r="S100" s="13" t="str">
        <f>IF($C100="","",IF(OR($L100="Selesai",$L100="Batal"),0,IF($Q100="",5,IF($Q100&lt;0,50,IF($Q100&lt;=Referensi!$P$5,40,IF($Q100&lt;=Referensi!$P$6,30,IF($Q100&lt;=Referensi!$P$7,20,10)))))+IF($O100="",25,IF($P100&gt;Referensi!$P$8,30,IF($P100&gt;Referensi!$P$9,20,5)))+IF($U100="",5,IF($U100&gt;=Referensi!$P$10,20,IF($U100&gt;=Referensi!$P$11,10,5)))+IF($L100="Tertunda",15,IF(OR($L100="Negosiasi",$L100="Penawaran"),12,IF($L100="Berjalan",8,IF($L100="Prospek",5,0))))))</f>
        <v/>
      </c>
      <c r="T100" s="8" t="str">
        <f>IF($C100="","",IF(OR($L100="Selesai",$L100="Batal"),"Tidak aktif",IF($S100&gt;=Referensi!$P$12,"KRITIS",IF($S100&gt;=Referensi!$P$13,"Tinggi",IF($S100&gt;=Referensi!$P$14,"Sedang","Rendah")))))</f>
        <v/>
      </c>
      <c r="U100" s="14"/>
      <c r="V100" s="15"/>
      <c r="W100" s="9" t="str">
        <f t="shared" si="3"/>
        <v/>
      </c>
    </row>
    <row r="101" spans="1:23" ht="31.5" customHeight="1">
      <c r="A101" s="8" t="str">
        <f t="shared" si="0"/>
        <v/>
      </c>
      <c r="B101" s="9" t="str">
        <f t="array" ref="B101">IF(OR($C101="",$I101="",$J101=""),"","JSI-"&amp;IFERROR(INDEX(Referensi!$B$5:$B$14,MATCH($I101,Referensi!$A$5:$A$14,0)),"???")&amp;"-"&amp;IFERROR(INDEX(Referensi!$E$5:$E$14,MATCH($J101,Referensi!$D$5:$D$14,0)),"???")&amp;"-"&amp;TEXT(COUNTIFS($I$5:$I101,$I101,$J$5:$J101,$J101),"000"))</f>
        <v/>
      </c>
      <c r="C101" s="10"/>
      <c r="D101" s="10"/>
      <c r="E101" s="10"/>
      <c r="F101" s="10"/>
      <c r="G101" s="10"/>
      <c r="H101" s="10"/>
      <c r="I101" s="10"/>
      <c r="J101" s="11"/>
      <c r="K101" s="10"/>
      <c r="L101" s="11"/>
      <c r="M101" s="12"/>
      <c r="N101" s="12"/>
      <c r="O101" s="12"/>
      <c r="P101" s="13" t="str">
        <f t="shared" ca="1" si="1"/>
        <v/>
      </c>
      <c r="Q101" s="13" t="str">
        <f t="shared" ca="1" si="2"/>
        <v/>
      </c>
      <c r="R101" s="8" t="str">
        <f>IF($C101="","",IF($O101="","Belum ada kontak",IF($P101&gt;Referensi!$P$8,"Segera follow up",IF($P101&gt;Referensi!$P$9,"Perlu dipantau","Terkini"))))</f>
        <v/>
      </c>
      <c r="S101" s="13" t="str">
        <f>IF($C101="","",IF(OR($L101="Selesai",$L101="Batal"),0,IF($Q101="",5,IF($Q101&lt;0,50,IF($Q101&lt;=Referensi!$P$5,40,IF($Q101&lt;=Referensi!$P$6,30,IF($Q101&lt;=Referensi!$P$7,20,10)))))+IF($O101="",25,IF($P101&gt;Referensi!$P$8,30,IF($P101&gt;Referensi!$P$9,20,5)))+IF($U101="",5,IF($U101&gt;=Referensi!$P$10,20,IF($U101&gt;=Referensi!$P$11,10,5)))+IF($L101="Tertunda",15,IF(OR($L101="Negosiasi",$L101="Penawaran"),12,IF($L101="Berjalan",8,IF($L101="Prospek",5,0))))))</f>
        <v/>
      </c>
      <c r="T101" s="8" t="str">
        <f>IF($C101="","",IF(OR($L101="Selesai",$L101="Batal"),"Tidak aktif",IF($S101&gt;=Referensi!$P$12,"KRITIS",IF($S101&gt;=Referensi!$P$13,"Tinggi",IF($S101&gt;=Referensi!$P$14,"Sedang","Rendah")))))</f>
        <v/>
      </c>
      <c r="U101" s="14"/>
      <c r="V101" s="15"/>
      <c r="W101" s="9" t="str">
        <f t="shared" si="3"/>
        <v/>
      </c>
    </row>
    <row r="102" spans="1:23" ht="31.5" customHeight="1">
      <c r="A102" s="8" t="str">
        <f t="shared" si="0"/>
        <v/>
      </c>
      <c r="B102" s="9" t="str">
        <f t="array" ref="B102">IF(OR($C102="",$I102="",$J102=""),"","JSI-"&amp;IFERROR(INDEX(Referensi!$B$5:$B$14,MATCH($I102,Referensi!$A$5:$A$14,0)),"???")&amp;"-"&amp;IFERROR(INDEX(Referensi!$E$5:$E$14,MATCH($J102,Referensi!$D$5:$D$14,0)),"???")&amp;"-"&amp;TEXT(COUNTIFS($I$5:$I102,$I102,$J$5:$J102,$J102),"000"))</f>
        <v/>
      </c>
      <c r="C102" s="10"/>
      <c r="D102" s="10"/>
      <c r="E102" s="10"/>
      <c r="F102" s="10"/>
      <c r="G102" s="10"/>
      <c r="H102" s="10"/>
      <c r="I102" s="10"/>
      <c r="J102" s="11"/>
      <c r="K102" s="10"/>
      <c r="L102" s="11"/>
      <c r="M102" s="12"/>
      <c r="N102" s="12"/>
      <c r="O102" s="12"/>
      <c r="P102" s="13" t="str">
        <f t="shared" ca="1" si="1"/>
        <v/>
      </c>
      <c r="Q102" s="13" t="str">
        <f t="shared" ca="1" si="2"/>
        <v/>
      </c>
      <c r="R102" s="8" t="str">
        <f>IF($C102="","",IF($O102="","Belum ada kontak",IF($P102&gt;Referensi!$P$8,"Segera follow up",IF($P102&gt;Referensi!$P$9,"Perlu dipantau","Terkini"))))</f>
        <v/>
      </c>
      <c r="S102" s="13" t="str">
        <f>IF($C102="","",IF(OR($L102="Selesai",$L102="Batal"),0,IF($Q102="",5,IF($Q102&lt;0,50,IF($Q102&lt;=Referensi!$P$5,40,IF($Q102&lt;=Referensi!$P$6,30,IF($Q102&lt;=Referensi!$P$7,20,10)))))+IF($O102="",25,IF($P102&gt;Referensi!$P$8,30,IF($P102&gt;Referensi!$P$9,20,5)))+IF($U102="",5,IF($U102&gt;=Referensi!$P$10,20,IF($U102&gt;=Referensi!$P$11,10,5)))+IF($L102="Tertunda",15,IF(OR($L102="Negosiasi",$L102="Penawaran"),12,IF($L102="Berjalan",8,IF($L102="Prospek",5,0))))))</f>
        <v/>
      </c>
      <c r="T102" s="8" t="str">
        <f>IF($C102="","",IF(OR($L102="Selesai",$L102="Batal"),"Tidak aktif",IF($S102&gt;=Referensi!$P$12,"KRITIS",IF($S102&gt;=Referensi!$P$13,"Tinggi",IF($S102&gt;=Referensi!$P$14,"Sedang","Rendah")))))</f>
        <v/>
      </c>
      <c r="U102" s="14"/>
      <c r="V102" s="15"/>
      <c r="W102" s="9" t="str">
        <f t="shared" si="3"/>
        <v/>
      </c>
    </row>
    <row r="103" spans="1:23" ht="31.5" customHeight="1">
      <c r="A103" s="8" t="str">
        <f t="shared" si="0"/>
        <v/>
      </c>
      <c r="B103" s="9" t="str">
        <f t="array" ref="B103">IF(OR($C103="",$I103="",$J103=""),"","JSI-"&amp;IFERROR(INDEX(Referensi!$B$5:$B$14,MATCH($I103,Referensi!$A$5:$A$14,0)),"???")&amp;"-"&amp;IFERROR(INDEX(Referensi!$E$5:$E$14,MATCH($J103,Referensi!$D$5:$D$14,0)),"???")&amp;"-"&amp;TEXT(COUNTIFS($I$5:$I103,$I103,$J$5:$J103,$J103),"000"))</f>
        <v/>
      </c>
      <c r="C103" s="10"/>
      <c r="D103" s="10"/>
      <c r="E103" s="10"/>
      <c r="F103" s="10"/>
      <c r="G103" s="10"/>
      <c r="H103" s="10"/>
      <c r="I103" s="10"/>
      <c r="J103" s="11"/>
      <c r="K103" s="10"/>
      <c r="L103" s="11"/>
      <c r="M103" s="12"/>
      <c r="N103" s="12"/>
      <c r="O103" s="12"/>
      <c r="P103" s="13" t="str">
        <f t="shared" ca="1" si="1"/>
        <v/>
      </c>
      <c r="Q103" s="13" t="str">
        <f t="shared" ca="1" si="2"/>
        <v/>
      </c>
      <c r="R103" s="8" t="str">
        <f>IF($C103="","",IF($O103="","Belum ada kontak",IF($P103&gt;Referensi!$P$8,"Segera follow up",IF($P103&gt;Referensi!$P$9,"Perlu dipantau","Terkini"))))</f>
        <v/>
      </c>
      <c r="S103" s="13" t="str">
        <f>IF($C103="","",IF(OR($L103="Selesai",$L103="Batal"),0,IF($Q103="",5,IF($Q103&lt;0,50,IF($Q103&lt;=Referensi!$P$5,40,IF($Q103&lt;=Referensi!$P$6,30,IF($Q103&lt;=Referensi!$P$7,20,10)))))+IF($O103="",25,IF($P103&gt;Referensi!$P$8,30,IF($P103&gt;Referensi!$P$9,20,5)))+IF($U103="",5,IF($U103&gt;=Referensi!$P$10,20,IF($U103&gt;=Referensi!$P$11,10,5)))+IF($L103="Tertunda",15,IF(OR($L103="Negosiasi",$L103="Penawaran"),12,IF($L103="Berjalan",8,IF($L103="Prospek",5,0))))))</f>
        <v/>
      </c>
      <c r="T103" s="8" t="str">
        <f>IF($C103="","",IF(OR($L103="Selesai",$L103="Batal"),"Tidak aktif",IF($S103&gt;=Referensi!$P$12,"KRITIS",IF($S103&gt;=Referensi!$P$13,"Tinggi",IF($S103&gt;=Referensi!$P$14,"Sedang","Rendah")))))</f>
        <v/>
      </c>
      <c r="U103" s="14"/>
      <c r="V103" s="15"/>
      <c r="W103" s="9" t="str">
        <f t="shared" si="3"/>
        <v/>
      </c>
    </row>
    <row r="104" spans="1:23" ht="31.5" customHeight="1">
      <c r="A104" s="8" t="str">
        <f t="shared" si="0"/>
        <v/>
      </c>
      <c r="B104" s="9" t="str">
        <f t="array" ref="B104">IF(OR($C104="",$I104="",$J104=""),"","JSI-"&amp;IFERROR(INDEX(Referensi!$B$5:$B$14,MATCH($I104,Referensi!$A$5:$A$14,0)),"???")&amp;"-"&amp;IFERROR(INDEX(Referensi!$E$5:$E$14,MATCH($J104,Referensi!$D$5:$D$14,0)),"???")&amp;"-"&amp;TEXT(COUNTIFS($I$5:$I104,$I104,$J$5:$J104,$J104),"000"))</f>
        <v/>
      </c>
      <c r="C104" s="10"/>
      <c r="D104" s="10"/>
      <c r="E104" s="10"/>
      <c r="F104" s="10"/>
      <c r="G104" s="10"/>
      <c r="H104" s="10"/>
      <c r="I104" s="10"/>
      <c r="J104" s="11"/>
      <c r="K104" s="10"/>
      <c r="L104" s="11"/>
      <c r="M104" s="12"/>
      <c r="N104" s="12"/>
      <c r="O104" s="12"/>
      <c r="P104" s="13" t="str">
        <f t="shared" ca="1" si="1"/>
        <v/>
      </c>
      <c r="Q104" s="13" t="str">
        <f t="shared" ca="1" si="2"/>
        <v/>
      </c>
      <c r="R104" s="8" t="str">
        <f>IF($C104="","",IF($O104="","Belum ada kontak",IF($P104&gt;Referensi!$P$8,"Segera follow up",IF($P104&gt;Referensi!$P$9,"Perlu dipantau","Terkini"))))</f>
        <v/>
      </c>
      <c r="S104" s="13" t="str">
        <f>IF($C104="","",IF(OR($L104="Selesai",$L104="Batal"),0,IF($Q104="",5,IF($Q104&lt;0,50,IF($Q104&lt;=Referensi!$P$5,40,IF($Q104&lt;=Referensi!$P$6,30,IF($Q104&lt;=Referensi!$P$7,20,10)))))+IF($O104="",25,IF($P104&gt;Referensi!$P$8,30,IF($P104&gt;Referensi!$P$9,20,5)))+IF($U104="",5,IF($U104&gt;=Referensi!$P$10,20,IF($U104&gt;=Referensi!$P$11,10,5)))+IF($L104="Tertunda",15,IF(OR($L104="Negosiasi",$L104="Penawaran"),12,IF($L104="Berjalan",8,IF($L104="Prospek",5,0))))))</f>
        <v/>
      </c>
      <c r="T104" s="8" t="str">
        <f>IF($C104="","",IF(OR($L104="Selesai",$L104="Batal"),"Tidak aktif",IF($S104&gt;=Referensi!$P$12,"KRITIS",IF($S104&gt;=Referensi!$P$13,"Tinggi",IF($S104&gt;=Referensi!$P$14,"Sedang","Rendah")))))</f>
        <v/>
      </c>
      <c r="U104" s="14"/>
      <c r="V104" s="15"/>
      <c r="W104" s="9" t="str">
        <f t="shared" si="3"/>
        <v/>
      </c>
    </row>
    <row r="105" spans="1:23" ht="31.5" customHeight="1">
      <c r="A105" s="8" t="str">
        <f t="shared" si="0"/>
        <v/>
      </c>
      <c r="B105" s="9" t="str">
        <f t="array" ref="B105">IF(OR($C105="",$I105="",$J105=""),"","JSI-"&amp;IFERROR(INDEX(Referensi!$B$5:$B$14,MATCH($I105,Referensi!$A$5:$A$14,0)),"???")&amp;"-"&amp;IFERROR(INDEX(Referensi!$E$5:$E$14,MATCH($J105,Referensi!$D$5:$D$14,0)),"???")&amp;"-"&amp;TEXT(COUNTIFS($I$5:$I105,$I105,$J$5:$J105,$J105),"000"))</f>
        <v/>
      </c>
      <c r="C105" s="10"/>
      <c r="D105" s="10"/>
      <c r="E105" s="10"/>
      <c r="F105" s="10"/>
      <c r="G105" s="10"/>
      <c r="H105" s="10"/>
      <c r="I105" s="10"/>
      <c r="J105" s="11"/>
      <c r="K105" s="10"/>
      <c r="L105" s="11"/>
      <c r="M105" s="12"/>
      <c r="N105" s="12"/>
      <c r="O105" s="12"/>
      <c r="P105" s="13" t="str">
        <f t="shared" ca="1" si="1"/>
        <v/>
      </c>
      <c r="Q105" s="13" t="str">
        <f t="shared" ca="1" si="2"/>
        <v/>
      </c>
      <c r="R105" s="8" t="str">
        <f>IF($C105="","",IF($O105="","Belum ada kontak",IF($P105&gt;Referensi!$P$8,"Segera follow up",IF($P105&gt;Referensi!$P$9,"Perlu dipantau","Terkini"))))</f>
        <v/>
      </c>
      <c r="S105" s="13" t="str">
        <f>IF($C105="","",IF(OR($L105="Selesai",$L105="Batal"),0,IF($Q105="",5,IF($Q105&lt;0,50,IF($Q105&lt;=Referensi!$P$5,40,IF($Q105&lt;=Referensi!$P$6,30,IF($Q105&lt;=Referensi!$P$7,20,10)))))+IF($O105="",25,IF($P105&gt;Referensi!$P$8,30,IF($P105&gt;Referensi!$P$9,20,5)))+IF($U105="",5,IF($U105&gt;=Referensi!$P$10,20,IF($U105&gt;=Referensi!$P$11,10,5)))+IF($L105="Tertunda",15,IF(OR($L105="Negosiasi",$L105="Penawaran"),12,IF($L105="Berjalan",8,IF($L105="Prospek",5,0))))))</f>
        <v/>
      </c>
      <c r="T105" s="8" t="str">
        <f>IF($C105="","",IF(OR($L105="Selesai",$L105="Batal"),"Tidak aktif",IF($S105&gt;=Referensi!$P$12,"KRITIS",IF($S105&gt;=Referensi!$P$13,"Tinggi",IF($S105&gt;=Referensi!$P$14,"Sedang","Rendah")))))</f>
        <v/>
      </c>
      <c r="U105" s="14"/>
      <c r="V105" s="15"/>
      <c r="W105" s="9" t="str">
        <f t="shared" si="3"/>
        <v/>
      </c>
    </row>
    <row r="106" spans="1:23" ht="31.5" customHeight="1">
      <c r="A106" s="8" t="str">
        <f t="shared" si="0"/>
        <v/>
      </c>
      <c r="B106" s="9" t="str">
        <f t="array" ref="B106">IF(OR($C106="",$I106="",$J106=""),"","JSI-"&amp;IFERROR(INDEX(Referensi!$B$5:$B$14,MATCH($I106,Referensi!$A$5:$A$14,0)),"???")&amp;"-"&amp;IFERROR(INDEX(Referensi!$E$5:$E$14,MATCH($J106,Referensi!$D$5:$D$14,0)),"???")&amp;"-"&amp;TEXT(COUNTIFS($I$5:$I106,$I106,$J$5:$J106,$J106),"000"))</f>
        <v/>
      </c>
      <c r="C106" s="10"/>
      <c r="D106" s="10"/>
      <c r="E106" s="10"/>
      <c r="F106" s="10"/>
      <c r="G106" s="10"/>
      <c r="H106" s="10"/>
      <c r="I106" s="10"/>
      <c r="J106" s="11"/>
      <c r="K106" s="10"/>
      <c r="L106" s="11"/>
      <c r="M106" s="12"/>
      <c r="N106" s="12"/>
      <c r="O106" s="12"/>
      <c r="P106" s="13" t="str">
        <f t="shared" ca="1" si="1"/>
        <v/>
      </c>
      <c r="Q106" s="13" t="str">
        <f t="shared" ca="1" si="2"/>
        <v/>
      </c>
      <c r="R106" s="8" t="str">
        <f>IF($C106="","",IF($O106="","Belum ada kontak",IF($P106&gt;Referensi!$P$8,"Segera follow up",IF($P106&gt;Referensi!$P$9,"Perlu dipantau","Terkini"))))</f>
        <v/>
      </c>
      <c r="S106" s="13" t="str">
        <f>IF($C106="","",IF(OR($L106="Selesai",$L106="Batal"),0,IF($Q106="",5,IF($Q106&lt;0,50,IF($Q106&lt;=Referensi!$P$5,40,IF($Q106&lt;=Referensi!$P$6,30,IF($Q106&lt;=Referensi!$P$7,20,10)))))+IF($O106="",25,IF($P106&gt;Referensi!$P$8,30,IF($P106&gt;Referensi!$P$9,20,5)))+IF($U106="",5,IF($U106&gt;=Referensi!$P$10,20,IF($U106&gt;=Referensi!$P$11,10,5)))+IF($L106="Tertunda",15,IF(OR($L106="Negosiasi",$L106="Penawaran"),12,IF($L106="Berjalan",8,IF($L106="Prospek",5,0))))))</f>
        <v/>
      </c>
      <c r="T106" s="8" t="str">
        <f>IF($C106="","",IF(OR($L106="Selesai",$L106="Batal"),"Tidak aktif",IF($S106&gt;=Referensi!$P$12,"KRITIS",IF($S106&gt;=Referensi!$P$13,"Tinggi",IF($S106&gt;=Referensi!$P$14,"Sedang","Rendah")))))</f>
        <v/>
      </c>
      <c r="U106" s="14"/>
      <c r="V106" s="15"/>
      <c r="W106" s="9" t="str">
        <f t="shared" si="3"/>
        <v/>
      </c>
    </row>
    <row r="107" spans="1:23" ht="31.5" customHeight="1">
      <c r="A107" s="8" t="str">
        <f t="shared" si="0"/>
        <v/>
      </c>
      <c r="B107" s="9" t="str">
        <f t="array" ref="B107">IF(OR($C107="",$I107="",$J107=""),"","JSI-"&amp;IFERROR(INDEX(Referensi!$B$5:$B$14,MATCH($I107,Referensi!$A$5:$A$14,0)),"???")&amp;"-"&amp;IFERROR(INDEX(Referensi!$E$5:$E$14,MATCH($J107,Referensi!$D$5:$D$14,0)),"???")&amp;"-"&amp;TEXT(COUNTIFS($I$5:$I107,$I107,$J$5:$J107,$J107),"000"))</f>
        <v/>
      </c>
      <c r="C107" s="10"/>
      <c r="D107" s="10"/>
      <c r="E107" s="10"/>
      <c r="F107" s="10"/>
      <c r="G107" s="10"/>
      <c r="H107" s="10"/>
      <c r="I107" s="10"/>
      <c r="J107" s="11"/>
      <c r="K107" s="10"/>
      <c r="L107" s="11"/>
      <c r="M107" s="12"/>
      <c r="N107" s="12"/>
      <c r="O107" s="12"/>
      <c r="P107" s="13" t="str">
        <f t="shared" ca="1" si="1"/>
        <v/>
      </c>
      <c r="Q107" s="13" t="str">
        <f t="shared" ca="1" si="2"/>
        <v/>
      </c>
      <c r="R107" s="8" t="str">
        <f>IF($C107="","",IF($O107="","Belum ada kontak",IF($P107&gt;Referensi!$P$8,"Segera follow up",IF($P107&gt;Referensi!$P$9,"Perlu dipantau","Terkini"))))</f>
        <v/>
      </c>
      <c r="S107" s="13" t="str">
        <f>IF($C107="","",IF(OR($L107="Selesai",$L107="Batal"),0,IF($Q107="",5,IF($Q107&lt;0,50,IF($Q107&lt;=Referensi!$P$5,40,IF($Q107&lt;=Referensi!$P$6,30,IF($Q107&lt;=Referensi!$P$7,20,10)))))+IF($O107="",25,IF($P107&gt;Referensi!$P$8,30,IF($P107&gt;Referensi!$P$9,20,5)))+IF($U107="",5,IF($U107&gt;=Referensi!$P$10,20,IF($U107&gt;=Referensi!$P$11,10,5)))+IF($L107="Tertunda",15,IF(OR($L107="Negosiasi",$L107="Penawaran"),12,IF($L107="Berjalan",8,IF($L107="Prospek",5,0))))))</f>
        <v/>
      </c>
      <c r="T107" s="8" t="str">
        <f>IF($C107="","",IF(OR($L107="Selesai",$L107="Batal"),"Tidak aktif",IF($S107&gt;=Referensi!$P$12,"KRITIS",IF($S107&gt;=Referensi!$P$13,"Tinggi",IF($S107&gt;=Referensi!$P$14,"Sedang","Rendah")))))</f>
        <v/>
      </c>
      <c r="U107" s="14"/>
      <c r="V107" s="15"/>
      <c r="W107" s="9" t="str">
        <f t="shared" si="3"/>
        <v/>
      </c>
    </row>
    <row r="108" spans="1:23" ht="31.5" customHeight="1">
      <c r="A108" s="8" t="str">
        <f t="shared" si="0"/>
        <v/>
      </c>
      <c r="B108" s="9" t="str">
        <f t="array" ref="B108">IF(OR($C108="",$I108="",$J108=""),"","JSI-"&amp;IFERROR(INDEX(Referensi!$B$5:$B$14,MATCH($I108,Referensi!$A$5:$A$14,0)),"???")&amp;"-"&amp;IFERROR(INDEX(Referensi!$E$5:$E$14,MATCH($J108,Referensi!$D$5:$D$14,0)),"???")&amp;"-"&amp;TEXT(COUNTIFS($I$5:$I108,$I108,$J$5:$J108,$J108),"000"))</f>
        <v/>
      </c>
      <c r="C108" s="10"/>
      <c r="D108" s="10"/>
      <c r="E108" s="10"/>
      <c r="F108" s="10"/>
      <c r="G108" s="10"/>
      <c r="H108" s="10"/>
      <c r="I108" s="10"/>
      <c r="J108" s="11"/>
      <c r="K108" s="10"/>
      <c r="L108" s="11"/>
      <c r="M108" s="12"/>
      <c r="N108" s="12"/>
      <c r="O108" s="12"/>
      <c r="P108" s="13" t="str">
        <f t="shared" ca="1" si="1"/>
        <v/>
      </c>
      <c r="Q108" s="13" t="str">
        <f t="shared" ca="1" si="2"/>
        <v/>
      </c>
      <c r="R108" s="8" t="str">
        <f>IF($C108="","",IF($O108="","Belum ada kontak",IF($P108&gt;Referensi!$P$8,"Segera follow up",IF($P108&gt;Referensi!$P$9,"Perlu dipantau","Terkini"))))</f>
        <v/>
      </c>
      <c r="S108" s="13" t="str">
        <f>IF($C108="","",IF(OR($L108="Selesai",$L108="Batal"),0,IF($Q108="",5,IF($Q108&lt;0,50,IF($Q108&lt;=Referensi!$P$5,40,IF($Q108&lt;=Referensi!$P$6,30,IF($Q108&lt;=Referensi!$P$7,20,10)))))+IF($O108="",25,IF($P108&gt;Referensi!$P$8,30,IF($P108&gt;Referensi!$P$9,20,5)))+IF($U108="",5,IF($U108&gt;=Referensi!$P$10,20,IF($U108&gt;=Referensi!$P$11,10,5)))+IF($L108="Tertunda",15,IF(OR($L108="Negosiasi",$L108="Penawaran"),12,IF($L108="Berjalan",8,IF($L108="Prospek",5,0))))))</f>
        <v/>
      </c>
      <c r="T108" s="8" t="str">
        <f>IF($C108="","",IF(OR($L108="Selesai",$L108="Batal"),"Tidak aktif",IF($S108&gt;=Referensi!$P$12,"KRITIS",IF($S108&gt;=Referensi!$P$13,"Tinggi",IF($S108&gt;=Referensi!$P$14,"Sedang","Rendah")))))</f>
        <v/>
      </c>
      <c r="U108" s="14"/>
      <c r="V108" s="15"/>
      <c r="W108" s="9" t="str">
        <f t="shared" si="3"/>
        <v/>
      </c>
    </row>
    <row r="109" spans="1:23" ht="31.5" customHeight="1">
      <c r="A109" s="8" t="str">
        <f t="shared" si="0"/>
        <v/>
      </c>
      <c r="B109" s="9" t="str">
        <f t="array" ref="B109">IF(OR($C109="",$I109="",$J109=""),"","JSI-"&amp;IFERROR(INDEX(Referensi!$B$5:$B$14,MATCH($I109,Referensi!$A$5:$A$14,0)),"???")&amp;"-"&amp;IFERROR(INDEX(Referensi!$E$5:$E$14,MATCH($J109,Referensi!$D$5:$D$14,0)),"???")&amp;"-"&amp;TEXT(COUNTIFS($I$5:$I109,$I109,$J$5:$J109,$J109),"000"))</f>
        <v/>
      </c>
      <c r="C109" s="10"/>
      <c r="D109" s="10"/>
      <c r="E109" s="10"/>
      <c r="F109" s="10"/>
      <c r="G109" s="10"/>
      <c r="H109" s="10"/>
      <c r="I109" s="10"/>
      <c r="J109" s="11"/>
      <c r="K109" s="10"/>
      <c r="L109" s="11"/>
      <c r="M109" s="12"/>
      <c r="N109" s="12"/>
      <c r="O109" s="12"/>
      <c r="P109" s="13" t="str">
        <f t="shared" ca="1" si="1"/>
        <v/>
      </c>
      <c r="Q109" s="13" t="str">
        <f t="shared" ca="1" si="2"/>
        <v/>
      </c>
      <c r="R109" s="8" t="str">
        <f>IF($C109="","",IF($O109="","Belum ada kontak",IF($P109&gt;Referensi!$P$8,"Segera follow up",IF($P109&gt;Referensi!$P$9,"Perlu dipantau","Terkini"))))</f>
        <v/>
      </c>
      <c r="S109" s="13" t="str">
        <f>IF($C109="","",IF(OR($L109="Selesai",$L109="Batal"),0,IF($Q109="",5,IF($Q109&lt;0,50,IF($Q109&lt;=Referensi!$P$5,40,IF($Q109&lt;=Referensi!$P$6,30,IF($Q109&lt;=Referensi!$P$7,20,10)))))+IF($O109="",25,IF($P109&gt;Referensi!$P$8,30,IF($P109&gt;Referensi!$P$9,20,5)))+IF($U109="",5,IF($U109&gt;=Referensi!$P$10,20,IF($U109&gt;=Referensi!$P$11,10,5)))+IF($L109="Tertunda",15,IF(OR($L109="Negosiasi",$L109="Penawaran"),12,IF($L109="Berjalan",8,IF($L109="Prospek",5,0))))))</f>
        <v/>
      </c>
      <c r="T109" s="8" t="str">
        <f>IF($C109="","",IF(OR($L109="Selesai",$L109="Batal"),"Tidak aktif",IF($S109&gt;=Referensi!$P$12,"KRITIS",IF($S109&gt;=Referensi!$P$13,"Tinggi",IF($S109&gt;=Referensi!$P$14,"Sedang","Rendah")))))</f>
        <v/>
      </c>
      <c r="U109" s="14"/>
      <c r="V109" s="15"/>
      <c r="W109" s="9" t="str">
        <f t="shared" si="3"/>
        <v/>
      </c>
    </row>
    <row r="110" spans="1:23" ht="31.5" customHeight="1">
      <c r="A110" s="8" t="str">
        <f t="shared" si="0"/>
        <v/>
      </c>
      <c r="B110" s="9" t="str">
        <f t="array" ref="B110">IF(OR($C110="",$I110="",$J110=""),"","JSI-"&amp;IFERROR(INDEX(Referensi!$B$5:$B$14,MATCH($I110,Referensi!$A$5:$A$14,0)),"???")&amp;"-"&amp;IFERROR(INDEX(Referensi!$E$5:$E$14,MATCH($J110,Referensi!$D$5:$D$14,0)),"???")&amp;"-"&amp;TEXT(COUNTIFS($I$5:$I110,$I110,$J$5:$J110,$J110),"000"))</f>
        <v/>
      </c>
      <c r="C110" s="10"/>
      <c r="D110" s="10"/>
      <c r="E110" s="10"/>
      <c r="F110" s="10"/>
      <c r="G110" s="10"/>
      <c r="H110" s="10"/>
      <c r="I110" s="10"/>
      <c r="J110" s="11"/>
      <c r="K110" s="10"/>
      <c r="L110" s="11"/>
      <c r="M110" s="12"/>
      <c r="N110" s="12"/>
      <c r="O110" s="12"/>
      <c r="P110" s="13" t="str">
        <f t="shared" ca="1" si="1"/>
        <v/>
      </c>
      <c r="Q110" s="13" t="str">
        <f t="shared" ca="1" si="2"/>
        <v/>
      </c>
      <c r="R110" s="8" t="str">
        <f>IF($C110="","",IF($O110="","Belum ada kontak",IF($P110&gt;Referensi!$P$8,"Segera follow up",IF($P110&gt;Referensi!$P$9,"Perlu dipantau","Terkini"))))</f>
        <v/>
      </c>
      <c r="S110" s="13" t="str">
        <f>IF($C110="","",IF(OR($L110="Selesai",$L110="Batal"),0,IF($Q110="",5,IF($Q110&lt;0,50,IF($Q110&lt;=Referensi!$P$5,40,IF($Q110&lt;=Referensi!$P$6,30,IF($Q110&lt;=Referensi!$P$7,20,10)))))+IF($O110="",25,IF($P110&gt;Referensi!$P$8,30,IF($P110&gt;Referensi!$P$9,20,5)))+IF($U110="",5,IF($U110&gt;=Referensi!$P$10,20,IF($U110&gt;=Referensi!$P$11,10,5)))+IF($L110="Tertunda",15,IF(OR($L110="Negosiasi",$L110="Penawaran"),12,IF($L110="Berjalan",8,IF($L110="Prospek",5,0))))))</f>
        <v/>
      </c>
      <c r="T110" s="8" t="str">
        <f>IF($C110="","",IF(OR($L110="Selesai",$L110="Batal"),"Tidak aktif",IF($S110&gt;=Referensi!$P$12,"KRITIS",IF($S110&gt;=Referensi!$P$13,"Tinggi",IF($S110&gt;=Referensi!$P$14,"Sedang","Rendah")))))</f>
        <v/>
      </c>
      <c r="U110" s="14"/>
      <c r="V110" s="15"/>
      <c r="W110" s="9" t="str">
        <f t="shared" si="3"/>
        <v/>
      </c>
    </row>
    <row r="111" spans="1:23" ht="31.5" customHeight="1">
      <c r="A111" s="8" t="str">
        <f t="shared" si="0"/>
        <v/>
      </c>
      <c r="B111" s="9" t="str">
        <f t="array" ref="B111">IF(OR($C111="",$I111="",$J111=""),"","JSI-"&amp;IFERROR(INDEX(Referensi!$B$5:$B$14,MATCH($I111,Referensi!$A$5:$A$14,0)),"???")&amp;"-"&amp;IFERROR(INDEX(Referensi!$E$5:$E$14,MATCH($J111,Referensi!$D$5:$D$14,0)),"???")&amp;"-"&amp;TEXT(COUNTIFS($I$5:$I111,$I111,$J$5:$J111,$J111),"000"))</f>
        <v/>
      </c>
      <c r="C111" s="10"/>
      <c r="D111" s="10"/>
      <c r="E111" s="10"/>
      <c r="F111" s="10"/>
      <c r="G111" s="10"/>
      <c r="H111" s="10"/>
      <c r="I111" s="10"/>
      <c r="J111" s="11"/>
      <c r="K111" s="10"/>
      <c r="L111" s="11"/>
      <c r="M111" s="12"/>
      <c r="N111" s="12"/>
      <c r="O111" s="12"/>
      <c r="P111" s="13" t="str">
        <f t="shared" ca="1" si="1"/>
        <v/>
      </c>
      <c r="Q111" s="13" t="str">
        <f t="shared" ca="1" si="2"/>
        <v/>
      </c>
      <c r="R111" s="8" t="str">
        <f>IF($C111="","",IF($O111="","Belum ada kontak",IF($P111&gt;Referensi!$P$8,"Segera follow up",IF($P111&gt;Referensi!$P$9,"Perlu dipantau","Terkini"))))</f>
        <v/>
      </c>
      <c r="S111" s="13" t="str">
        <f>IF($C111="","",IF(OR($L111="Selesai",$L111="Batal"),0,IF($Q111="",5,IF($Q111&lt;0,50,IF($Q111&lt;=Referensi!$P$5,40,IF($Q111&lt;=Referensi!$P$6,30,IF($Q111&lt;=Referensi!$P$7,20,10)))))+IF($O111="",25,IF($P111&gt;Referensi!$P$8,30,IF($P111&gt;Referensi!$P$9,20,5)))+IF($U111="",5,IF($U111&gt;=Referensi!$P$10,20,IF($U111&gt;=Referensi!$P$11,10,5)))+IF($L111="Tertunda",15,IF(OR($L111="Negosiasi",$L111="Penawaran"),12,IF($L111="Berjalan",8,IF($L111="Prospek",5,0))))))</f>
        <v/>
      </c>
      <c r="T111" s="8" t="str">
        <f>IF($C111="","",IF(OR($L111="Selesai",$L111="Batal"),"Tidak aktif",IF($S111&gt;=Referensi!$P$12,"KRITIS",IF($S111&gt;=Referensi!$P$13,"Tinggi",IF($S111&gt;=Referensi!$P$14,"Sedang","Rendah")))))</f>
        <v/>
      </c>
      <c r="U111" s="14"/>
      <c r="V111" s="15"/>
      <c r="W111" s="9" t="str">
        <f t="shared" si="3"/>
        <v/>
      </c>
    </row>
    <row r="112" spans="1:23" ht="31.5" customHeight="1">
      <c r="A112" s="8" t="str">
        <f t="shared" si="0"/>
        <v/>
      </c>
      <c r="B112" s="9" t="str">
        <f t="array" ref="B112">IF(OR($C112="",$I112="",$J112=""),"","JSI-"&amp;IFERROR(INDEX(Referensi!$B$5:$B$14,MATCH($I112,Referensi!$A$5:$A$14,0)),"???")&amp;"-"&amp;IFERROR(INDEX(Referensi!$E$5:$E$14,MATCH($J112,Referensi!$D$5:$D$14,0)),"???")&amp;"-"&amp;TEXT(COUNTIFS($I$5:$I112,$I112,$J$5:$J112,$J112),"000"))</f>
        <v/>
      </c>
      <c r="C112" s="10"/>
      <c r="D112" s="10"/>
      <c r="E112" s="10"/>
      <c r="F112" s="10"/>
      <c r="G112" s="10"/>
      <c r="H112" s="10"/>
      <c r="I112" s="10"/>
      <c r="J112" s="11"/>
      <c r="K112" s="10"/>
      <c r="L112" s="11"/>
      <c r="M112" s="12"/>
      <c r="N112" s="12"/>
      <c r="O112" s="12"/>
      <c r="P112" s="13" t="str">
        <f t="shared" ca="1" si="1"/>
        <v/>
      </c>
      <c r="Q112" s="13" t="str">
        <f t="shared" ca="1" si="2"/>
        <v/>
      </c>
      <c r="R112" s="8" t="str">
        <f>IF($C112="","",IF($O112="","Belum ada kontak",IF($P112&gt;Referensi!$P$8,"Segera follow up",IF($P112&gt;Referensi!$P$9,"Perlu dipantau","Terkini"))))</f>
        <v/>
      </c>
      <c r="S112" s="13" t="str">
        <f>IF($C112="","",IF(OR($L112="Selesai",$L112="Batal"),0,IF($Q112="",5,IF($Q112&lt;0,50,IF($Q112&lt;=Referensi!$P$5,40,IF($Q112&lt;=Referensi!$P$6,30,IF($Q112&lt;=Referensi!$P$7,20,10)))))+IF($O112="",25,IF($P112&gt;Referensi!$P$8,30,IF($P112&gt;Referensi!$P$9,20,5)))+IF($U112="",5,IF($U112&gt;=Referensi!$P$10,20,IF($U112&gt;=Referensi!$P$11,10,5)))+IF($L112="Tertunda",15,IF(OR($L112="Negosiasi",$L112="Penawaran"),12,IF($L112="Berjalan",8,IF($L112="Prospek",5,0))))))</f>
        <v/>
      </c>
      <c r="T112" s="8" t="str">
        <f>IF($C112="","",IF(OR($L112="Selesai",$L112="Batal"),"Tidak aktif",IF($S112&gt;=Referensi!$P$12,"KRITIS",IF($S112&gt;=Referensi!$P$13,"Tinggi",IF($S112&gt;=Referensi!$P$14,"Sedang","Rendah")))))</f>
        <v/>
      </c>
      <c r="U112" s="14"/>
      <c r="V112" s="15"/>
      <c r="W112" s="9" t="str">
        <f t="shared" si="3"/>
        <v/>
      </c>
    </row>
    <row r="113" spans="1:23" ht="31.5" customHeight="1">
      <c r="A113" s="8" t="str">
        <f t="shared" si="0"/>
        <v/>
      </c>
      <c r="B113" s="9" t="str">
        <f t="array" ref="B113">IF(OR($C113="",$I113="",$J113=""),"","JSI-"&amp;IFERROR(INDEX(Referensi!$B$5:$B$14,MATCH($I113,Referensi!$A$5:$A$14,0)),"???")&amp;"-"&amp;IFERROR(INDEX(Referensi!$E$5:$E$14,MATCH($J113,Referensi!$D$5:$D$14,0)),"???")&amp;"-"&amp;TEXT(COUNTIFS($I$5:$I113,$I113,$J$5:$J113,$J113),"000"))</f>
        <v/>
      </c>
      <c r="C113" s="10"/>
      <c r="D113" s="10"/>
      <c r="E113" s="10"/>
      <c r="F113" s="10"/>
      <c r="G113" s="10"/>
      <c r="H113" s="10"/>
      <c r="I113" s="10"/>
      <c r="J113" s="11"/>
      <c r="K113" s="10"/>
      <c r="L113" s="11"/>
      <c r="M113" s="12"/>
      <c r="N113" s="12"/>
      <c r="O113" s="12"/>
      <c r="P113" s="13" t="str">
        <f t="shared" ca="1" si="1"/>
        <v/>
      </c>
      <c r="Q113" s="13" t="str">
        <f t="shared" ca="1" si="2"/>
        <v/>
      </c>
      <c r="R113" s="8" t="str">
        <f>IF($C113="","",IF($O113="","Belum ada kontak",IF($P113&gt;Referensi!$P$8,"Segera follow up",IF($P113&gt;Referensi!$P$9,"Perlu dipantau","Terkini"))))</f>
        <v/>
      </c>
      <c r="S113" s="13" t="str">
        <f>IF($C113="","",IF(OR($L113="Selesai",$L113="Batal"),0,IF($Q113="",5,IF($Q113&lt;0,50,IF($Q113&lt;=Referensi!$P$5,40,IF($Q113&lt;=Referensi!$P$6,30,IF($Q113&lt;=Referensi!$P$7,20,10)))))+IF($O113="",25,IF($P113&gt;Referensi!$P$8,30,IF($P113&gt;Referensi!$P$9,20,5)))+IF($U113="",5,IF($U113&gt;=Referensi!$P$10,20,IF($U113&gt;=Referensi!$P$11,10,5)))+IF($L113="Tertunda",15,IF(OR($L113="Negosiasi",$L113="Penawaran"),12,IF($L113="Berjalan",8,IF($L113="Prospek",5,0))))))</f>
        <v/>
      </c>
      <c r="T113" s="8" t="str">
        <f>IF($C113="","",IF(OR($L113="Selesai",$L113="Batal"),"Tidak aktif",IF($S113&gt;=Referensi!$P$12,"KRITIS",IF($S113&gt;=Referensi!$P$13,"Tinggi",IF($S113&gt;=Referensi!$P$14,"Sedang","Rendah")))))</f>
        <v/>
      </c>
      <c r="U113" s="14"/>
      <c r="V113" s="15"/>
      <c r="W113" s="9" t="str">
        <f t="shared" si="3"/>
        <v/>
      </c>
    </row>
    <row r="114" spans="1:23" ht="31.5" customHeight="1">
      <c r="A114" s="8" t="str">
        <f t="shared" si="0"/>
        <v/>
      </c>
      <c r="B114" s="9" t="str">
        <f t="array" ref="B114">IF(OR($C114="",$I114="",$J114=""),"","JSI-"&amp;IFERROR(INDEX(Referensi!$B$5:$B$14,MATCH($I114,Referensi!$A$5:$A$14,0)),"???")&amp;"-"&amp;IFERROR(INDEX(Referensi!$E$5:$E$14,MATCH($J114,Referensi!$D$5:$D$14,0)),"???")&amp;"-"&amp;TEXT(COUNTIFS($I$5:$I114,$I114,$J$5:$J114,$J114),"000"))</f>
        <v/>
      </c>
      <c r="C114" s="10"/>
      <c r="D114" s="10"/>
      <c r="E114" s="10"/>
      <c r="F114" s="10"/>
      <c r="G114" s="10"/>
      <c r="H114" s="10"/>
      <c r="I114" s="10"/>
      <c r="J114" s="11"/>
      <c r="K114" s="10"/>
      <c r="L114" s="11"/>
      <c r="M114" s="12"/>
      <c r="N114" s="12"/>
      <c r="O114" s="12"/>
      <c r="P114" s="13" t="str">
        <f t="shared" ca="1" si="1"/>
        <v/>
      </c>
      <c r="Q114" s="13" t="str">
        <f t="shared" ca="1" si="2"/>
        <v/>
      </c>
      <c r="R114" s="8" t="str">
        <f>IF($C114="","",IF($O114="","Belum ada kontak",IF($P114&gt;Referensi!$P$8,"Segera follow up",IF($P114&gt;Referensi!$P$9,"Perlu dipantau","Terkini"))))</f>
        <v/>
      </c>
      <c r="S114" s="13" t="str">
        <f>IF($C114="","",IF(OR($L114="Selesai",$L114="Batal"),0,IF($Q114="",5,IF($Q114&lt;0,50,IF($Q114&lt;=Referensi!$P$5,40,IF($Q114&lt;=Referensi!$P$6,30,IF($Q114&lt;=Referensi!$P$7,20,10)))))+IF($O114="",25,IF($P114&gt;Referensi!$P$8,30,IF($P114&gt;Referensi!$P$9,20,5)))+IF($U114="",5,IF($U114&gt;=Referensi!$P$10,20,IF($U114&gt;=Referensi!$P$11,10,5)))+IF($L114="Tertunda",15,IF(OR($L114="Negosiasi",$L114="Penawaran"),12,IF($L114="Berjalan",8,IF($L114="Prospek",5,0))))))</f>
        <v/>
      </c>
      <c r="T114" s="8" t="str">
        <f>IF($C114="","",IF(OR($L114="Selesai",$L114="Batal"),"Tidak aktif",IF($S114&gt;=Referensi!$P$12,"KRITIS",IF($S114&gt;=Referensi!$P$13,"Tinggi",IF($S114&gt;=Referensi!$P$14,"Sedang","Rendah")))))</f>
        <v/>
      </c>
      <c r="U114" s="14"/>
      <c r="V114" s="15"/>
      <c r="W114" s="9" t="str">
        <f t="shared" si="3"/>
        <v/>
      </c>
    </row>
    <row r="115" spans="1:23" ht="31.5" customHeight="1">
      <c r="A115" s="8" t="str">
        <f t="shared" si="0"/>
        <v/>
      </c>
      <c r="B115" s="9" t="str">
        <f t="array" ref="B115">IF(OR($C115="",$I115="",$J115=""),"","JSI-"&amp;IFERROR(INDEX(Referensi!$B$5:$B$14,MATCH($I115,Referensi!$A$5:$A$14,0)),"???")&amp;"-"&amp;IFERROR(INDEX(Referensi!$E$5:$E$14,MATCH($J115,Referensi!$D$5:$D$14,0)),"???")&amp;"-"&amp;TEXT(COUNTIFS($I$5:$I115,$I115,$J$5:$J115,$J115),"000"))</f>
        <v/>
      </c>
      <c r="C115" s="10"/>
      <c r="D115" s="10"/>
      <c r="E115" s="10"/>
      <c r="F115" s="10"/>
      <c r="G115" s="10"/>
      <c r="H115" s="10"/>
      <c r="I115" s="10"/>
      <c r="J115" s="11"/>
      <c r="K115" s="10"/>
      <c r="L115" s="11"/>
      <c r="M115" s="12"/>
      <c r="N115" s="12"/>
      <c r="O115" s="12"/>
      <c r="P115" s="13" t="str">
        <f t="shared" ca="1" si="1"/>
        <v/>
      </c>
      <c r="Q115" s="13" t="str">
        <f t="shared" ca="1" si="2"/>
        <v/>
      </c>
      <c r="R115" s="8" t="str">
        <f>IF($C115="","",IF($O115="","Belum ada kontak",IF($P115&gt;Referensi!$P$8,"Segera follow up",IF($P115&gt;Referensi!$P$9,"Perlu dipantau","Terkini"))))</f>
        <v/>
      </c>
      <c r="S115" s="13" t="str">
        <f>IF($C115="","",IF(OR($L115="Selesai",$L115="Batal"),0,IF($Q115="",5,IF($Q115&lt;0,50,IF($Q115&lt;=Referensi!$P$5,40,IF($Q115&lt;=Referensi!$P$6,30,IF($Q115&lt;=Referensi!$P$7,20,10)))))+IF($O115="",25,IF($P115&gt;Referensi!$P$8,30,IF($P115&gt;Referensi!$P$9,20,5)))+IF($U115="",5,IF($U115&gt;=Referensi!$P$10,20,IF($U115&gt;=Referensi!$P$11,10,5)))+IF($L115="Tertunda",15,IF(OR($L115="Negosiasi",$L115="Penawaran"),12,IF($L115="Berjalan",8,IF($L115="Prospek",5,0))))))</f>
        <v/>
      </c>
      <c r="T115" s="8" t="str">
        <f>IF($C115="","",IF(OR($L115="Selesai",$L115="Batal"),"Tidak aktif",IF($S115&gt;=Referensi!$P$12,"KRITIS",IF($S115&gt;=Referensi!$P$13,"Tinggi",IF($S115&gt;=Referensi!$P$14,"Sedang","Rendah")))))</f>
        <v/>
      </c>
      <c r="U115" s="14"/>
      <c r="V115" s="15"/>
      <c r="W115" s="9" t="str">
        <f t="shared" si="3"/>
        <v/>
      </c>
    </row>
    <row r="116" spans="1:23" ht="31.5" customHeight="1">
      <c r="A116" s="8" t="str">
        <f t="shared" si="0"/>
        <v/>
      </c>
      <c r="B116" s="9" t="str">
        <f t="array" ref="B116">IF(OR($C116="",$I116="",$J116=""),"","JSI-"&amp;IFERROR(INDEX(Referensi!$B$5:$B$14,MATCH($I116,Referensi!$A$5:$A$14,0)),"???")&amp;"-"&amp;IFERROR(INDEX(Referensi!$E$5:$E$14,MATCH($J116,Referensi!$D$5:$D$14,0)),"???")&amp;"-"&amp;TEXT(COUNTIFS($I$5:$I116,$I116,$J$5:$J116,$J116),"000"))</f>
        <v/>
      </c>
      <c r="C116" s="10"/>
      <c r="D116" s="10"/>
      <c r="E116" s="10"/>
      <c r="F116" s="10"/>
      <c r="G116" s="10"/>
      <c r="H116" s="10"/>
      <c r="I116" s="10"/>
      <c r="J116" s="11"/>
      <c r="K116" s="10"/>
      <c r="L116" s="11"/>
      <c r="M116" s="12"/>
      <c r="N116" s="12"/>
      <c r="O116" s="12"/>
      <c r="P116" s="13" t="str">
        <f t="shared" ca="1" si="1"/>
        <v/>
      </c>
      <c r="Q116" s="13" t="str">
        <f t="shared" ca="1" si="2"/>
        <v/>
      </c>
      <c r="R116" s="8" t="str">
        <f>IF($C116="","",IF($O116="","Belum ada kontak",IF($P116&gt;Referensi!$P$8,"Segera follow up",IF($P116&gt;Referensi!$P$9,"Perlu dipantau","Terkini"))))</f>
        <v/>
      </c>
      <c r="S116" s="13" t="str">
        <f>IF($C116="","",IF(OR($L116="Selesai",$L116="Batal"),0,IF($Q116="",5,IF($Q116&lt;0,50,IF($Q116&lt;=Referensi!$P$5,40,IF($Q116&lt;=Referensi!$P$6,30,IF($Q116&lt;=Referensi!$P$7,20,10)))))+IF($O116="",25,IF($P116&gt;Referensi!$P$8,30,IF($P116&gt;Referensi!$P$9,20,5)))+IF($U116="",5,IF($U116&gt;=Referensi!$P$10,20,IF($U116&gt;=Referensi!$P$11,10,5)))+IF($L116="Tertunda",15,IF(OR($L116="Negosiasi",$L116="Penawaran"),12,IF($L116="Berjalan",8,IF($L116="Prospek",5,0))))))</f>
        <v/>
      </c>
      <c r="T116" s="8" t="str">
        <f>IF($C116="","",IF(OR($L116="Selesai",$L116="Batal"),"Tidak aktif",IF($S116&gt;=Referensi!$P$12,"KRITIS",IF($S116&gt;=Referensi!$P$13,"Tinggi",IF($S116&gt;=Referensi!$P$14,"Sedang","Rendah")))))</f>
        <v/>
      </c>
      <c r="U116" s="14"/>
      <c r="V116" s="15"/>
      <c r="W116" s="9" t="str">
        <f t="shared" si="3"/>
        <v/>
      </c>
    </row>
    <row r="117" spans="1:23" ht="31.5" customHeight="1">
      <c r="A117" s="8" t="str">
        <f t="shared" si="0"/>
        <v/>
      </c>
      <c r="B117" s="9" t="str">
        <f t="array" ref="B117">IF(OR($C117="",$I117="",$J117=""),"","JSI-"&amp;IFERROR(INDEX(Referensi!$B$5:$B$14,MATCH($I117,Referensi!$A$5:$A$14,0)),"???")&amp;"-"&amp;IFERROR(INDEX(Referensi!$E$5:$E$14,MATCH($J117,Referensi!$D$5:$D$14,0)),"???")&amp;"-"&amp;TEXT(COUNTIFS($I$5:$I117,$I117,$J$5:$J117,$J117),"000"))</f>
        <v/>
      </c>
      <c r="C117" s="10"/>
      <c r="D117" s="10"/>
      <c r="E117" s="10"/>
      <c r="F117" s="10"/>
      <c r="G117" s="10"/>
      <c r="H117" s="10"/>
      <c r="I117" s="10"/>
      <c r="J117" s="11"/>
      <c r="K117" s="10"/>
      <c r="L117" s="11"/>
      <c r="M117" s="12"/>
      <c r="N117" s="12"/>
      <c r="O117" s="12"/>
      <c r="P117" s="13" t="str">
        <f t="shared" ca="1" si="1"/>
        <v/>
      </c>
      <c r="Q117" s="13" t="str">
        <f t="shared" ca="1" si="2"/>
        <v/>
      </c>
      <c r="R117" s="8" t="str">
        <f>IF($C117="","",IF($O117="","Belum ada kontak",IF($P117&gt;Referensi!$P$8,"Segera follow up",IF($P117&gt;Referensi!$P$9,"Perlu dipantau","Terkini"))))</f>
        <v/>
      </c>
      <c r="S117" s="13" t="str">
        <f>IF($C117="","",IF(OR($L117="Selesai",$L117="Batal"),0,IF($Q117="",5,IF($Q117&lt;0,50,IF($Q117&lt;=Referensi!$P$5,40,IF($Q117&lt;=Referensi!$P$6,30,IF($Q117&lt;=Referensi!$P$7,20,10)))))+IF($O117="",25,IF($P117&gt;Referensi!$P$8,30,IF($P117&gt;Referensi!$P$9,20,5)))+IF($U117="",5,IF($U117&gt;=Referensi!$P$10,20,IF($U117&gt;=Referensi!$P$11,10,5)))+IF($L117="Tertunda",15,IF(OR($L117="Negosiasi",$L117="Penawaran"),12,IF($L117="Berjalan",8,IF($L117="Prospek",5,0))))))</f>
        <v/>
      </c>
      <c r="T117" s="8" t="str">
        <f>IF($C117="","",IF(OR($L117="Selesai",$L117="Batal"),"Tidak aktif",IF($S117&gt;=Referensi!$P$12,"KRITIS",IF($S117&gt;=Referensi!$P$13,"Tinggi",IF($S117&gt;=Referensi!$P$14,"Sedang","Rendah")))))</f>
        <v/>
      </c>
      <c r="U117" s="14"/>
      <c r="V117" s="15"/>
      <c r="W117" s="9" t="str">
        <f t="shared" si="3"/>
        <v/>
      </c>
    </row>
    <row r="118" spans="1:23" ht="31.5" customHeight="1">
      <c r="A118" s="8" t="str">
        <f t="shared" si="0"/>
        <v/>
      </c>
      <c r="B118" s="9" t="str">
        <f t="array" ref="B118">IF(OR($C118="",$I118="",$J118=""),"","JSI-"&amp;IFERROR(INDEX(Referensi!$B$5:$B$14,MATCH($I118,Referensi!$A$5:$A$14,0)),"???")&amp;"-"&amp;IFERROR(INDEX(Referensi!$E$5:$E$14,MATCH($J118,Referensi!$D$5:$D$14,0)),"???")&amp;"-"&amp;TEXT(COUNTIFS($I$5:$I118,$I118,$J$5:$J118,$J118),"000"))</f>
        <v/>
      </c>
      <c r="C118" s="10"/>
      <c r="D118" s="10"/>
      <c r="E118" s="10"/>
      <c r="F118" s="10"/>
      <c r="G118" s="10"/>
      <c r="H118" s="10"/>
      <c r="I118" s="10"/>
      <c r="J118" s="11"/>
      <c r="K118" s="10"/>
      <c r="L118" s="11"/>
      <c r="M118" s="12"/>
      <c r="N118" s="12"/>
      <c r="O118" s="12"/>
      <c r="P118" s="13" t="str">
        <f t="shared" ca="1" si="1"/>
        <v/>
      </c>
      <c r="Q118" s="13" t="str">
        <f t="shared" ca="1" si="2"/>
        <v/>
      </c>
      <c r="R118" s="8" t="str">
        <f>IF($C118="","",IF($O118="","Belum ada kontak",IF($P118&gt;Referensi!$P$8,"Segera follow up",IF($P118&gt;Referensi!$P$9,"Perlu dipantau","Terkini"))))</f>
        <v/>
      </c>
      <c r="S118" s="13" t="str">
        <f>IF($C118="","",IF(OR($L118="Selesai",$L118="Batal"),0,IF($Q118="",5,IF($Q118&lt;0,50,IF($Q118&lt;=Referensi!$P$5,40,IF($Q118&lt;=Referensi!$P$6,30,IF($Q118&lt;=Referensi!$P$7,20,10)))))+IF($O118="",25,IF($P118&gt;Referensi!$P$8,30,IF($P118&gt;Referensi!$P$9,20,5)))+IF($U118="",5,IF($U118&gt;=Referensi!$P$10,20,IF($U118&gt;=Referensi!$P$11,10,5)))+IF($L118="Tertunda",15,IF(OR($L118="Negosiasi",$L118="Penawaran"),12,IF($L118="Berjalan",8,IF($L118="Prospek",5,0))))))</f>
        <v/>
      </c>
      <c r="T118" s="8" t="str">
        <f>IF($C118="","",IF(OR($L118="Selesai",$L118="Batal"),"Tidak aktif",IF($S118&gt;=Referensi!$P$12,"KRITIS",IF($S118&gt;=Referensi!$P$13,"Tinggi",IF($S118&gt;=Referensi!$P$14,"Sedang","Rendah")))))</f>
        <v/>
      </c>
      <c r="U118" s="14"/>
      <c r="V118" s="15"/>
      <c r="W118" s="9" t="str">
        <f t="shared" si="3"/>
        <v/>
      </c>
    </row>
    <row r="119" spans="1:23" ht="31.5" customHeight="1">
      <c r="A119" s="8" t="str">
        <f t="shared" si="0"/>
        <v/>
      </c>
      <c r="B119" s="9" t="str">
        <f t="array" ref="B119">IF(OR($C119="",$I119="",$J119=""),"","JSI-"&amp;IFERROR(INDEX(Referensi!$B$5:$B$14,MATCH($I119,Referensi!$A$5:$A$14,0)),"???")&amp;"-"&amp;IFERROR(INDEX(Referensi!$E$5:$E$14,MATCH($J119,Referensi!$D$5:$D$14,0)),"???")&amp;"-"&amp;TEXT(COUNTIFS($I$5:$I119,$I119,$J$5:$J119,$J119),"000"))</f>
        <v/>
      </c>
      <c r="C119" s="10"/>
      <c r="D119" s="10"/>
      <c r="E119" s="10"/>
      <c r="F119" s="10"/>
      <c r="G119" s="10"/>
      <c r="H119" s="10"/>
      <c r="I119" s="10"/>
      <c r="J119" s="11"/>
      <c r="K119" s="10"/>
      <c r="L119" s="11"/>
      <c r="M119" s="12"/>
      <c r="N119" s="12"/>
      <c r="O119" s="12"/>
      <c r="P119" s="13" t="str">
        <f t="shared" ca="1" si="1"/>
        <v/>
      </c>
      <c r="Q119" s="13" t="str">
        <f t="shared" ca="1" si="2"/>
        <v/>
      </c>
      <c r="R119" s="8" t="str">
        <f>IF($C119="","",IF($O119="","Belum ada kontak",IF($P119&gt;Referensi!$P$8,"Segera follow up",IF($P119&gt;Referensi!$P$9,"Perlu dipantau","Terkini"))))</f>
        <v/>
      </c>
      <c r="S119" s="13" t="str">
        <f>IF($C119="","",IF(OR($L119="Selesai",$L119="Batal"),0,IF($Q119="",5,IF($Q119&lt;0,50,IF($Q119&lt;=Referensi!$P$5,40,IF($Q119&lt;=Referensi!$P$6,30,IF($Q119&lt;=Referensi!$P$7,20,10)))))+IF($O119="",25,IF($P119&gt;Referensi!$P$8,30,IF($P119&gt;Referensi!$P$9,20,5)))+IF($U119="",5,IF($U119&gt;=Referensi!$P$10,20,IF($U119&gt;=Referensi!$P$11,10,5)))+IF($L119="Tertunda",15,IF(OR($L119="Negosiasi",$L119="Penawaran"),12,IF($L119="Berjalan",8,IF($L119="Prospek",5,0))))))</f>
        <v/>
      </c>
      <c r="T119" s="8" t="str">
        <f>IF($C119="","",IF(OR($L119="Selesai",$L119="Batal"),"Tidak aktif",IF($S119&gt;=Referensi!$P$12,"KRITIS",IF($S119&gt;=Referensi!$P$13,"Tinggi",IF($S119&gt;=Referensi!$P$14,"Sedang","Rendah")))))</f>
        <v/>
      </c>
      <c r="U119" s="14"/>
      <c r="V119" s="15"/>
      <c r="W119" s="9" t="str">
        <f t="shared" si="3"/>
        <v/>
      </c>
    </row>
    <row r="120" spans="1:23" ht="31.5" customHeight="1">
      <c r="A120" s="8" t="str">
        <f t="shared" si="0"/>
        <v/>
      </c>
      <c r="B120" s="9" t="str">
        <f t="array" ref="B120">IF(OR($C120="",$I120="",$J120=""),"","JSI-"&amp;IFERROR(INDEX(Referensi!$B$5:$B$14,MATCH($I120,Referensi!$A$5:$A$14,0)),"???")&amp;"-"&amp;IFERROR(INDEX(Referensi!$E$5:$E$14,MATCH($J120,Referensi!$D$5:$D$14,0)),"???")&amp;"-"&amp;TEXT(COUNTIFS($I$5:$I120,$I120,$J$5:$J120,$J120),"000"))</f>
        <v/>
      </c>
      <c r="C120" s="10"/>
      <c r="D120" s="10"/>
      <c r="E120" s="10"/>
      <c r="F120" s="10"/>
      <c r="G120" s="10"/>
      <c r="H120" s="10"/>
      <c r="I120" s="10"/>
      <c r="J120" s="11"/>
      <c r="K120" s="10"/>
      <c r="L120" s="11"/>
      <c r="M120" s="12"/>
      <c r="N120" s="12"/>
      <c r="O120" s="12"/>
      <c r="P120" s="13" t="str">
        <f t="shared" ca="1" si="1"/>
        <v/>
      </c>
      <c r="Q120" s="13" t="str">
        <f t="shared" ca="1" si="2"/>
        <v/>
      </c>
      <c r="R120" s="8" t="str">
        <f>IF($C120="","",IF($O120="","Belum ada kontak",IF($P120&gt;Referensi!$P$8,"Segera follow up",IF($P120&gt;Referensi!$P$9,"Perlu dipantau","Terkini"))))</f>
        <v/>
      </c>
      <c r="S120" s="13" t="str">
        <f>IF($C120="","",IF(OR($L120="Selesai",$L120="Batal"),0,IF($Q120="",5,IF($Q120&lt;0,50,IF($Q120&lt;=Referensi!$P$5,40,IF($Q120&lt;=Referensi!$P$6,30,IF($Q120&lt;=Referensi!$P$7,20,10)))))+IF($O120="",25,IF($P120&gt;Referensi!$P$8,30,IF($P120&gt;Referensi!$P$9,20,5)))+IF($U120="",5,IF($U120&gt;=Referensi!$P$10,20,IF($U120&gt;=Referensi!$P$11,10,5)))+IF($L120="Tertunda",15,IF(OR($L120="Negosiasi",$L120="Penawaran"),12,IF($L120="Berjalan",8,IF($L120="Prospek",5,0))))))</f>
        <v/>
      </c>
      <c r="T120" s="8" t="str">
        <f>IF($C120="","",IF(OR($L120="Selesai",$L120="Batal"),"Tidak aktif",IF($S120&gt;=Referensi!$P$12,"KRITIS",IF($S120&gt;=Referensi!$P$13,"Tinggi",IF($S120&gt;=Referensi!$P$14,"Sedang","Rendah")))))</f>
        <v/>
      </c>
      <c r="U120" s="14"/>
      <c r="V120" s="15"/>
      <c r="W120" s="9" t="str">
        <f t="shared" si="3"/>
        <v/>
      </c>
    </row>
    <row r="121" spans="1:23" ht="31.5" customHeight="1">
      <c r="A121" s="8" t="str">
        <f t="shared" si="0"/>
        <v/>
      </c>
      <c r="B121" s="9" t="str">
        <f t="array" ref="B121">IF(OR($C121="",$I121="",$J121=""),"","JSI-"&amp;IFERROR(INDEX(Referensi!$B$5:$B$14,MATCH($I121,Referensi!$A$5:$A$14,0)),"???")&amp;"-"&amp;IFERROR(INDEX(Referensi!$E$5:$E$14,MATCH($J121,Referensi!$D$5:$D$14,0)),"???")&amp;"-"&amp;TEXT(COUNTIFS($I$5:$I121,$I121,$J$5:$J121,$J121),"000"))</f>
        <v/>
      </c>
      <c r="C121" s="10"/>
      <c r="D121" s="10"/>
      <c r="E121" s="10"/>
      <c r="F121" s="10"/>
      <c r="G121" s="10"/>
      <c r="H121" s="10"/>
      <c r="I121" s="10"/>
      <c r="J121" s="11"/>
      <c r="K121" s="10"/>
      <c r="L121" s="11"/>
      <c r="M121" s="12"/>
      <c r="N121" s="12"/>
      <c r="O121" s="12"/>
      <c r="P121" s="13" t="str">
        <f t="shared" ca="1" si="1"/>
        <v/>
      </c>
      <c r="Q121" s="13" t="str">
        <f t="shared" ca="1" si="2"/>
        <v/>
      </c>
      <c r="R121" s="8" t="str">
        <f>IF($C121="","",IF($O121="","Belum ada kontak",IF($P121&gt;Referensi!$P$8,"Segera follow up",IF($P121&gt;Referensi!$P$9,"Perlu dipantau","Terkini"))))</f>
        <v/>
      </c>
      <c r="S121" s="13" t="str">
        <f>IF($C121="","",IF(OR($L121="Selesai",$L121="Batal"),0,IF($Q121="",5,IF($Q121&lt;0,50,IF($Q121&lt;=Referensi!$P$5,40,IF($Q121&lt;=Referensi!$P$6,30,IF($Q121&lt;=Referensi!$P$7,20,10)))))+IF($O121="",25,IF($P121&gt;Referensi!$P$8,30,IF($P121&gt;Referensi!$P$9,20,5)))+IF($U121="",5,IF($U121&gt;=Referensi!$P$10,20,IF($U121&gt;=Referensi!$P$11,10,5)))+IF($L121="Tertunda",15,IF(OR($L121="Negosiasi",$L121="Penawaran"),12,IF($L121="Berjalan",8,IF($L121="Prospek",5,0))))))</f>
        <v/>
      </c>
      <c r="T121" s="8" t="str">
        <f>IF($C121="","",IF(OR($L121="Selesai",$L121="Batal"),"Tidak aktif",IF($S121&gt;=Referensi!$P$12,"KRITIS",IF($S121&gt;=Referensi!$P$13,"Tinggi",IF($S121&gt;=Referensi!$P$14,"Sedang","Rendah")))))</f>
        <v/>
      </c>
      <c r="U121" s="14"/>
      <c r="V121" s="15"/>
      <c r="W121" s="9" t="str">
        <f t="shared" si="3"/>
        <v/>
      </c>
    </row>
    <row r="122" spans="1:23" ht="31.5" customHeight="1">
      <c r="A122" s="8" t="str">
        <f t="shared" si="0"/>
        <v/>
      </c>
      <c r="B122" s="9" t="str">
        <f t="array" ref="B122">IF(OR($C122="",$I122="",$J122=""),"","JSI-"&amp;IFERROR(INDEX(Referensi!$B$5:$B$14,MATCH($I122,Referensi!$A$5:$A$14,0)),"???")&amp;"-"&amp;IFERROR(INDEX(Referensi!$E$5:$E$14,MATCH($J122,Referensi!$D$5:$D$14,0)),"???")&amp;"-"&amp;TEXT(COUNTIFS($I$5:$I122,$I122,$J$5:$J122,$J122),"000"))</f>
        <v/>
      </c>
      <c r="C122" s="10"/>
      <c r="D122" s="10"/>
      <c r="E122" s="10"/>
      <c r="F122" s="10"/>
      <c r="G122" s="10"/>
      <c r="H122" s="10"/>
      <c r="I122" s="10"/>
      <c r="J122" s="11"/>
      <c r="K122" s="10"/>
      <c r="L122" s="11"/>
      <c r="M122" s="12"/>
      <c r="N122" s="12"/>
      <c r="O122" s="12"/>
      <c r="P122" s="13" t="str">
        <f t="shared" ca="1" si="1"/>
        <v/>
      </c>
      <c r="Q122" s="13" t="str">
        <f t="shared" ca="1" si="2"/>
        <v/>
      </c>
      <c r="R122" s="8" t="str">
        <f>IF($C122="","",IF($O122="","Belum ada kontak",IF($P122&gt;Referensi!$P$8,"Segera follow up",IF($P122&gt;Referensi!$P$9,"Perlu dipantau","Terkini"))))</f>
        <v/>
      </c>
      <c r="S122" s="13" t="str">
        <f>IF($C122="","",IF(OR($L122="Selesai",$L122="Batal"),0,IF($Q122="",5,IF($Q122&lt;0,50,IF($Q122&lt;=Referensi!$P$5,40,IF($Q122&lt;=Referensi!$P$6,30,IF($Q122&lt;=Referensi!$P$7,20,10)))))+IF($O122="",25,IF($P122&gt;Referensi!$P$8,30,IF($P122&gt;Referensi!$P$9,20,5)))+IF($U122="",5,IF($U122&gt;=Referensi!$P$10,20,IF($U122&gt;=Referensi!$P$11,10,5)))+IF($L122="Tertunda",15,IF(OR($L122="Negosiasi",$L122="Penawaran"),12,IF($L122="Berjalan",8,IF($L122="Prospek",5,0))))))</f>
        <v/>
      </c>
      <c r="T122" s="8" t="str">
        <f>IF($C122="","",IF(OR($L122="Selesai",$L122="Batal"),"Tidak aktif",IF($S122&gt;=Referensi!$P$12,"KRITIS",IF($S122&gt;=Referensi!$P$13,"Tinggi",IF($S122&gt;=Referensi!$P$14,"Sedang","Rendah")))))</f>
        <v/>
      </c>
      <c r="U122" s="14"/>
      <c r="V122" s="15"/>
      <c r="W122" s="9" t="str">
        <f t="shared" si="3"/>
        <v/>
      </c>
    </row>
    <row r="123" spans="1:23" ht="31.5" customHeight="1">
      <c r="A123" s="8" t="str">
        <f t="shared" si="0"/>
        <v/>
      </c>
      <c r="B123" s="9" t="str">
        <f t="array" ref="B123">IF(OR($C123="",$I123="",$J123=""),"","JSI-"&amp;IFERROR(INDEX(Referensi!$B$5:$B$14,MATCH($I123,Referensi!$A$5:$A$14,0)),"???")&amp;"-"&amp;IFERROR(INDEX(Referensi!$E$5:$E$14,MATCH($J123,Referensi!$D$5:$D$14,0)),"???")&amp;"-"&amp;TEXT(COUNTIFS($I$5:$I123,$I123,$J$5:$J123,$J123),"000"))</f>
        <v/>
      </c>
      <c r="C123" s="10"/>
      <c r="D123" s="10"/>
      <c r="E123" s="10"/>
      <c r="F123" s="10"/>
      <c r="G123" s="10"/>
      <c r="H123" s="10"/>
      <c r="I123" s="10"/>
      <c r="J123" s="11"/>
      <c r="K123" s="10"/>
      <c r="L123" s="11"/>
      <c r="M123" s="12"/>
      <c r="N123" s="12"/>
      <c r="O123" s="12"/>
      <c r="P123" s="13" t="str">
        <f t="shared" ca="1" si="1"/>
        <v/>
      </c>
      <c r="Q123" s="13" t="str">
        <f t="shared" ca="1" si="2"/>
        <v/>
      </c>
      <c r="R123" s="8" t="str">
        <f>IF($C123="","",IF($O123="","Belum ada kontak",IF($P123&gt;Referensi!$P$8,"Segera follow up",IF($P123&gt;Referensi!$P$9,"Perlu dipantau","Terkini"))))</f>
        <v/>
      </c>
      <c r="S123" s="13" t="str">
        <f>IF($C123="","",IF(OR($L123="Selesai",$L123="Batal"),0,IF($Q123="",5,IF($Q123&lt;0,50,IF($Q123&lt;=Referensi!$P$5,40,IF($Q123&lt;=Referensi!$P$6,30,IF($Q123&lt;=Referensi!$P$7,20,10)))))+IF($O123="",25,IF($P123&gt;Referensi!$P$8,30,IF($P123&gt;Referensi!$P$9,20,5)))+IF($U123="",5,IF($U123&gt;=Referensi!$P$10,20,IF($U123&gt;=Referensi!$P$11,10,5)))+IF($L123="Tertunda",15,IF(OR($L123="Negosiasi",$L123="Penawaran"),12,IF($L123="Berjalan",8,IF($L123="Prospek",5,0))))))</f>
        <v/>
      </c>
      <c r="T123" s="8" t="str">
        <f>IF($C123="","",IF(OR($L123="Selesai",$L123="Batal"),"Tidak aktif",IF($S123&gt;=Referensi!$P$12,"KRITIS",IF($S123&gt;=Referensi!$P$13,"Tinggi",IF($S123&gt;=Referensi!$P$14,"Sedang","Rendah")))))</f>
        <v/>
      </c>
      <c r="U123" s="14"/>
      <c r="V123" s="15"/>
      <c r="W123" s="9" t="str">
        <f t="shared" si="3"/>
        <v/>
      </c>
    </row>
    <row r="124" spans="1:23" ht="31.5" customHeight="1">
      <c r="A124" s="8" t="str">
        <f t="shared" si="0"/>
        <v/>
      </c>
      <c r="B124" s="9" t="str">
        <f t="array" ref="B124">IF(OR($C124="",$I124="",$J124=""),"","JSI-"&amp;IFERROR(INDEX(Referensi!$B$5:$B$14,MATCH($I124,Referensi!$A$5:$A$14,0)),"???")&amp;"-"&amp;IFERROR(INDEX(Referensi!$E$5:$E$14,MATCH($J124,Referensi!$D$5:$D$14,0)),"???")&amp;"-"&amp;TEXT(COUNTIFS($I$5:$I124,$I124,$J$5:$J124,$J124),"000"))</f>
        <v/>
      </c>
      <c r="C124" s="10"/>
      <c r="D124" s="10"/>
      <c r="E124" s="10"/>
      <c r="F124" s="10"/>
      <c r="G124" s="10"/>
      <c r="H124" s="10"/>
      <c r="I124" s="10"/>
      <c r="J124" s="11"/>
      <c r="K124" s="10"/>
      <c r="L124" s="11"/>
      <c r="M124" s="12"/>
      <c r="N124" s="12"/>
      <c r="O124" s="12"/>
      <c r="P124" s="13" t="str">
        <f t="shared" ca="1" si="1"/>
        <v/>
      </c>
      <c r="Q124" s="13" t="str">
        <f t="shared" ca="1" si="2"/>
        <v/>
      </c>
      <c r="R124" s="8" t="str">
        <f>IF($C124="","",IF($O124="","Belum ada kontak",IF($P124&gt;Referensi!$P$8,"Segera follow up",IF($P124&gt;Referensi!$P$9,"Perlu dipantau","Terkini"))))</f>
        <v/>
      </c>
      <c r="S124" s="13" t="str">
        <f>IF($C124="","",IF(OR($L124="Selesai",$L124="Batal"),0,IF($Q124="",5,IF($Q124&lt;0,50,IF($Q124&lt;=Referensi!$P$5,40,IF($Q124&lt;=Referensi!$P$6,30,IF($Q124&lt;=Referensi!$P$7,20,10)))))+IF($O124="",25,IF($P124&gt;Referensi!$P$8,30,IF($P124&gt;Referensi!$P$9,20,5)))+IF($U124="",5,IF($U124&gt;=Referensi!$P$10,20,IF($U124&gt;=Referensi!$P$11,10,5)))+IF($L124="Tertunda",15,IF(OR($L124="Negosiasi",$L124="Penawaran"),12,IF($L124="Berjalan",8,IF($L124="Prospek",5,0))))))</f>
        <v/>
      </c>
      <c r="T124" s="8" t="str">
        <f>IF($C124="","",IF(OR($L124="Selesai",$L124="Batal"),"Tidak aktif",IF($S124&gt;=Referensi!$P$12,"KRITIS",IF($S124&gt;=Referensi!$P$13,"Tinggi",IF($S124&gt;=Referensi!$P$14,"Sedang","Rendah")))))</f>
        <v/>
      </c>
      <c r="U124" s="14"/>
      <c r="V124" s="15"/>
      <c r="W124" s="9" t="str">
        <f t="shared" si="3"/>
        <v/>
      </c>
    </row>
    <row r="125" spans="1:23" ht="31.5" customHeight="1">
      <c r="A125" s="8" t="str">
        <f t="shared" si="0"/>
        <v/>
      </c>
      <c r="B125" s="9" t="str">
        <f t="array" ref="B125">IF(OR($C125="",$I125="",$J125=""),"","JSI-"&amp;IFERROR(INDEX(Referensi!$B$5:$B$14,MATCH($I125,Referensi!$A$5:$A$14,0)),"???")&amp;"-"&amp;IFERROR(INDEX(Referensi!$E$5:$E$14,MATCH($J125,Referensi!$D$5:$D$14,0)),"???")&amp;"-"&amp;TEXT(COUNTIFS($I$5:$I125,$I125,$J$5:$J125,$J125),"000"))</f>
        <v/>
      </c>
      <c r="C125" s="10"/>
      <c r="D125" s="10"/>
      <c r="E125" s="10"/>
      <c r="F125" s="10"/>
      <c r="G125" s="10"/>
      <c r="H125" s="10"/>
      <c r="I125" s="10"/>
      <c r="J125" s="11"/>
      <c r="K125" s="10"/>
      <c r="L125" s="11"/>
      <c r="M125" s="12"/>
      <c r="N125" s="12"/>
      <c r="O125" s="12"/>
      <c r="P125" s="13" t="str">
        <f t="shared" ca="1" si="1"/>
        <v/>
      </c>
      <c r="Q125" s="13" t="str">
        <f t="shared" ca="1" si="2"/>
        <v/>
      </c>
      <c r="R125" s="8" t="str">
        <f>IF($C125="","",IF($O125="","Belum ada kontak",IF($P125&gt;Referensi!$P$8,"Segera follow up",IF($P125&gt;Referensi!$P$9,"Perlu dipantau","Terkini"))))</f>
        <v/>
      </c>
      <c r="S125" s="13" t="str">
        <f>IF($C125="","",IF(OR($L125="Selesai",$L125="Batal"),0,IF($Q125="",5,IF($Q125&lt;0,50,IF($Q125&lt;=Referensi!$P$5,40,IF($Q125&lt;=Referensi!$P$6,30,IF($Q125&lt;=Referensi!$P$7,20,10)))))+IF($O125="",25,IF($P125&gt;Referensi!$P$8,30,IF($P125&gt;Referensi!$P$9,20,5)))+IF($U125="",5,IF($U125&gt;=Referensi!$P$10,20,IF($U125&gt;=Referensi!$P$11,10,5)))+IF($L125="Tertunda",15,IF(OR($L125="Negosiasi",$L125="Penawaran"),12,IF($L125="Berjalan",8,IF($L125="Prospek",5,0))))))</f>
        <v/>
      </c>
      <c r="T125" s="8" t="str">
        <f>IF($C125="","",IF(OR($L125="Selesai",$L125="Batal"),"Tidak aktif",IF($S125&gt;=Referensi!$P$12,"KRITIS",IF($S125&gt;=Referensi!$P$13,"Tinggi",IF($S125&gt;=Referensi!$P$14,"Sedang","Rendah")))))</f>
        <v/>
      </c>
      <c r="U125" s="14"/>
      <c r="V125" s="15"/>
      <c r="W125" s="9" t="str">
        <f t="shared" si="3"/>
        <v/>
      </c>
    </row>
    <row r="126" spans="1:23" ht="31.5" customHeight="1">
      <c r="A126" s="8" t="str">
        <f t="shared" si="0"/>
        <v/>
      </c>
      <c r="B126" s="9" t="str">
        <f t="array" ref="B126">IF(OR($C126="",$I126="",$J126=""),"","JSI-"&amp;IFERROR(INDEX(Referensi!$B$5:$B$14,MATCH($I126,Referensi!$A$5:$A$14,0)),"???")&amp;"-"&amp;IFERROR(INDEX(Referensi!$E$5:$E$14,MATCH($J126,Referensi!$D$5:$D$14,0)),"???")&amp;"-"&amp;TEXT(COUNTIFS($I$5:$I126,$I126,$J$5:$J126,$J126),"000"))</f>
        <v/>
      </c>
      <c r="C126" s="10"/>
      <c r="D126" s="10"/>
      <c r="E126" s="10"/>
      <c r="F126" s="10"/>
      <c r="G126" s="10"/>
      <c r="H126" s="10"/>
      <c r="I126" s="10"/>
      <c r="J126" s="11"/>
      <c r="K126" s="10"/>
      <c r="L126" s="11"/>
      <c r="M126" s="12"/>
      <c r="N126" s="12"/>
      <c r="O126" s="12"/>
      <c r="P126" s="13" t="str">
        <f t="shared" ca="1" si="1"/>
        <v/>
      </c>
      <c r="Q126" s="13" t="str">
        <f t="shared" ca="1" si="2"/>
        <v/>
      </c>
      <c r="R126" s="8" t="str">
        <f>IF($C126="","",IF($O126="","Belum ada kontak",IF($P126&gt;Referensi!$P$8,"Segera follow up",IF($P126&gt;Referensi!$P$9,"Perlu dipantau","Terkini"))))</f>
        <v/>
      </c>
      <c r="S126" s="13" t="str">
        <f>IF($C126="","",IF(OR($L126="Selesai",$L126="Batal"),0,IF($Q126="",5,IF($Q126&lt;0,50,IF($Q126&lt;=Referensi!$P$5,40,IF($Q126&lt;=Referensi!$P$6,30,IF($Q126&lt;=Referensi!$P$7,20,10)))))+IF($O126="",25,IF($P126&gt;Referensi!$P$8,30,IF($P126&gt;Referensi!$P$9,20,5)))+IF($U126="",5,IF($U126&gt;=Referensi!$P$10,20,IF($U126&gt;=Referensi!$P$11,10,5)))+IF($L126="Tertunda",15,IF(OR($L126="Negosiasi",$L126="Penawaran"),12,IF($L126="Berjalan",8,IF($L126="Prospek",5,0))))))</f>
        <v/>
      </c>
      <c r="T126" s="8" t="str">
        <f>IF($C126="","",IF(OR($L126="Selesai",$L126="Batal"),"Tidak aktif",IF($S126&gt;=Referensi!$P$12,"KRITIS",IF($S126&gt;=Referensi!$P$13,"Tinggi",IF($S126&gt;=Referensi!$P$14,"Sedang","Rendah")))))</f>
        <v/>
      </c>
      <c r="U126" s="14"/>
      <c r="V126" s="15"/>
      <c r="W126" s="9" t="str">
        <f t="shared" si="3"/>
        <v/>
      </c>
    </row>
    <row r="127" spans="1:23" ht="31.5" customHeight="1">
      <c r="A127" s="8" t="str">
        <f t="shared" si="0"/>
        <v/>
      </c>
      <c r="B127" s="9" t="str">
        <f t="array" ref="B127">IF(OR($C127="",$I127="",$J127=""),"","JSI-"&amp;IFERROR(INDEX(Referensi!$B$5:$B$14,MATCH($I127,Referensi!$A$5:$A$14,0)),"???")&amp;"-"&amp;IFERROR(INDEX(Referensi!$E$5:$E$14,MATCH($J127,Referensi!$D$5:$D$14,0)),"???")&amp;"-"&amp;TEXT(COUNTIFS($I$5:$I127,$I127,$J$5:$J127,$J127),"000"))</f>
        <v/>
      </c>
      <c r="C127" s="10"/>
      <c r="D127" s="10"/>
      <c r="E127" s="10"/>
      <c r="F127" s="10"/>
      <c r="G127" s="10"/>
      <c r="H127" s="10"/>
      <c r="I127" s="10"/>
      <c r="J127" s="11"/>
      <c r="K127" s="10"/>
      <c r="L127" s="11"/>
      <c r="M127" s="12"/>
      <c r="N127" s="12"/>
      <c r="O127" s="12"/>
      <c r="P127" s="13" t="str">
        <f t="shared" ca="1" si="1"/>
        <v/>
      </c>
      <c r="Q127" s="13" t="str">
        <f t="shared" ca="1" si="2"/>
        <v/>
      </c>
      <c r="R127" s="8" t="str">
        <f>IF($C127="","",IF($O127="","Belum ada kontak",IF($P127&gt;Referensi!$P$8,"Segera follow up",IF($P127&gt;Referensi!$P$9,"Perlu dipantau","Terkini"))))</f>
        <v/>
      </c>
      <c r="S127" s="13" t="str">
        <f>IF($C127="","",IF(OR($L127="Selesai",$L127="Batal"),0,IF($Q127="",5,IF($Q127&lt;0,50,IF($Q127&lt;=Referensi!$P$5,40,IF($Q127&lt;=Referensi!$P$6,30,IF($Q127&lt;=Referensi!$P$7,20,10)))))+IF($O127="",25,IF($P127&gt;Referensi!$P$8,30,IF($P127&gt;Referensi!$P$9,20,5)))+IF($U127="",5,IF($U127&gt;=Referensi!$P$10,20,IF($U127&gt;=Referensi!$P$11,10,5)))+IF($L127="Tertunda",15,IF(OR($L127="Negosiasi",$L127="Penawaran"),12,IF($L127="Berjalan",8,IF($L127="Prospek",5,0))))))</f>
        <v/>
      </c>
      <c r="T127" s="8" t="str">
        <f>IF($C127="","",IF(OR($L127="Selesai",$L127="Batal"),"Tidak aktif",IF($S127&gt;=Referensi!$P$12,"KRITIS",IF($S127&gt;=Referensi!$P$13,"Tinggi",IF($S127&gt;=Referensi!$P$14,"Sedang","Rendah")))))</f>
        <v/>
      </c>
      <c r="U127" s="14"/>
      <c r="V127" s="15"/>
      <c r="W127" s="9" t="str">
        <f t="shared" si="3"/>
        <v/>
      </c>
    </row>
    <row r="128" spans="1:23" ht="31.5" customHeight="1">
      <c r="A128" s="8" t="str">
        <f t="shared" si="0"/>
        <v/>
      </c>
      <c r="B128" s="9" t="str">
        <f t="array" ref="B128">IF(OR($C128="",$I128="",$J128=""),"","JSI-"&amp;IFERROR(INDEX(Referensi!$B$5:$B$14,MATCH($I128,Referensi!$A$5:$A$14,0)),"???")&amp;"-"&amp;IFERROR(INDEX(Referensi!$E$5:$E$14,MATCH($J128,Referensi!$D$5:$D$14,0)),"???")&amp;"-"&amp;TEXT(COUNTIFS($I$5:$I128,$I128,$J$5:$J128,$J128),"000"))</f>
        <v/>
      </c>
      <c r="C128" s="10"/>
      <c r="D128" s="10"/>
      <c r="E128" s="10"/>
      <c r="F128" s="10"/>
      <c r="G128" s="10"/>
      <c r="H128" s="10"/>
      <c r="I128" s="10"/>
      <c r="J128" s="11"/>
      <c r="K128" s="10"/>
      <c r="L128" s="11"/>
      <c r="M128" s="12"/>
      <c r="N128" s="12"/>
      <c r="O128" s="12"/>
      <c r="P128" s="13" t="str">
        <f t="shared" ca="1" si="1"/>
        <v/>
      </c>
      <c r="Q128" s="13" t="str">
        <f t="shared" ca="1" si="2"/>
        <v/>
      </c>
      <c r="R128" s="8" t="str">
        <f>IF($C128="","",IF($O128="","Belum ada kontak",IF($P128&gt;Referensi!$P$8,"Segera follow up",IF($P128&gt;Referensi!$P$9,"Perlu dipantau","Terkini"))))</f>
        <v/>
      </c>
      <c r="S128" s="13" t="str">
        <f>IF($C128="","",IF(OR($L128="Selesai",$L128="Batal"),0,IF($Q128="",5,IF($Q128&lt;0,50,IF($Q128&lt;=Referensi!$P$5,40,IF($Q128&lt;=Referensi!$P$6,30,IF($Q128&lt;=Referensi!$P$7,20,10)))))+IF($O128="",25,IF($P128&gt;Referensi!$P$8,30,IF($P128&gt;Referensi!$P$9,20,5)))+IF($U128="",5,IF($U128&gt;=Referensi!$P$10,20,IF($U128&gt;=Referensi!$P$11,10,5)))+IF($L128="Tertunda",15,IF(OR($L128="Negosiasi",$L128="Penawaran"),12,IF($L128="Berjalan",8,IF($L128="Prospek",5,0))))))</f>
        <v/>
      </c>
      <c r="T128" s="8" t="str">
        <f>IF($C128="","",IF(OR($L128="Selesai",$L128="Batal"),"Tidak aktif",IF($S128&gt;=Referensi!$P$12,"KRITIS",IF($S128&gt;=Referensi!$P$13,"Tinggi",IF($S128&gt;=Referensi!$P$14,"Sedang","Rendah")))))</f>
        <v/>
      </c>
      <c r="U128" s="14"/>
      <c r="V128" s="15"/>
      <c r="W128" s="9" t="str">
        <f t="shared" si="3"/>
        <v/>
      </c>
    </row>
    <row r="129" spans="1:23" ht="31.5" customHeight="1">
      <c r="A129" s="8" t="str">
        <f t="shared" si="0"/>
        <v/>
      </c>
      <c r="B129" s="9" t="str">
        <f t="array" ref="B129">IF(OR($C129="",$I129="",$J129=""),"","JSI-"&amp;IFERROR(INDEX(Referensi!$B$5:$B$14,MATCH($I129,Referensi!$A$5:$A$14,0)),"???")&amp;"-"&amp;IFERROR(INDEX(Referensi!$E$5:$E$14,MATCH($J129,Referensi!$D$5:$D$14,0)),"???")&amp;"-"&amp;TEXT(COUNTIFS($I$5:$I129,$I129,$J$5:$J129,$J129),"000"))</f>
        <v/>
      </c>
      <c r="C129" s="10"/>
      <c r="D129" s="10"/>
      <c r="E129" s="10"/>
      <c r="F129" s="10"/>
      <c r="G129" s="10"/>
      <c r="H129" s="10"/>
      <c r="I129" s="10"/>
      <c r="J129" s="11"/>
      <c r="K129" s="10"/>
      <c r="L129" s="11"/>
      <c r="M129" s="12"/>
      <c r="N129" s="12"/>
      <c r="O129" s="12"/>
      <c r="P129" s="13" t="str">
        <f t="shared" ca="1" si="1"/>
        <v/>
      </c>
      <c r="Q129" s="13" t="str">
        <f t="shared" ca="1" si="2"/>
        <v/>
      </c>
      <c r="R129" s="8" t="str">
        <f>IF($C129="","",IF($O129="","Belum ada kontak",IF($P129&gt;Referensi!$P$8,"Segera follow up",IF($P129&gt;Referensi!$P$9,"Perlu dipantau","Terkini"))))</f>
        <v/>
      </c>
      <c r="S129" s="13" t="str">
        <f>IF($C129="","",IF(OR($L129="Selesai",$L129="Batal"),0,IF($Q129="",5,IF($Q129&lt;0,50,IF($Q129&lt;=Referensi!$P$5,40,IF($Q129&lt;=Referensi!$P$6,30,IF($Q129&lt;=Referensi!$P$7,20,10)))))+IF($O129="",25,IF($P129&gt;Referensi!$P$8,30,IF($P129&gt;Referensi!$P$9,20,5)))+IF($U129="",5,IF($U129&gt;=Referensi!$P$10,20,IF($U129&gt;=Referensi!$P$11,10,5)))+IF($L129="Tertunda",15,IF(OR($L129="Negosiasi",$L129="Penawaran"),12,IF($L129="Berjalan",8,IF($L129="Prospek",5,0))))))</f>
        <v/>
      </c>
      <c r="T129" s="8" t="str">
        <f>IF($C129="","",IF(OR($L129="Selesai",$L129="Batal"),"Tidak aktif",IF($S129&gt;=Referensi!$P$12,"KRITIS",IF($S129&gt;=Referensi!$P$13,"Tinggi",IF($S129&gt;=Referensi!$P$14,"Sedang","Rendah")))))</f>
        <v/>
      </c>
      <c r="U129" s="14"/>
      <c r="V129" s="15"/>
      <c r="W129" s="9" t="str">
        <f t="shared" si="3"/>
        <v/>
      </c>
    </row>
    <row r="130" spans="1:23" ht="31.5" customHeight="1">
      <c r="A130" s="8" t="str">
        <f t="shared" si="0"/>
        <v/>
      </c>
      <c r="B130" s="9" t="str">
        <f t="array" ref="B130">IF(OR($C130="",$I130="",$J130=""),"","JSI-"&amp;IFERROR(INDEX(Referensi!$B$5:$B$14,MATCH($I130,Referensi!$A$5:$A$14,0)),"???")&amp;"-"&amp;IFERROR(INDEX(Referensi!$E$5:$E$14,MATCH($J130,Referensi!$D$5:$D$14,0)),"???")&amp;"-"&amp;TEXT(COUNTIFS($I$5:$I130,$I130,$J$5:$J130,$J130),"000"))</f>
        <v/>
      </c>
      <c r="C130" s="10"/>
      <c r="D130" s="10"/>
      <c r="E130" s="10"/>
      <c r="F130" s="10"/>
      <c r="G130" s="10"/>
      <c r="H130" s="10"/>
      <c r="I130" s="10"/>
      <c r="J130" s="11"/>
      <c r="K130" s="10"/>
      <c r="L130" s="11"/>
      <c r="M130" s="12"/>
      <c r="N130" s="12"/>
      <c r="O130" s="12"/>
      <c r="P130" s="13" t="str">
        <f t="shared" ca="1" si="1"/>
        <v/>
      </c>
      <c r="Q130" s="13" t="str">
        <f t="shared" ca="1" si="2"/>
        <v/>
      </c>
      <c r="R130" s="8" t="str">
        <f>IF($C130="","",IF($O130="","Belum ada kontak",IF($P130&gt;Referensi!$P$8,"Segera follow up",IF($P130&gt;Referensi!$P$9,"Perlu dipantau","Terkini"))))</f>
        <v/>
      </c>
      <c r="S130" s="13" t="str">
        <f>IF($C130="","",IF(OR($L130="Selesai",$L130="Batal"),0,IF($Q130="",5,IF($Q130&lt;0,50,IF($Q130&lt;=Referensi!$P$5,40,IF($Q130&lt;=Referensi!$P$6,30,IF($Q130&lt;=Referensi!$P$7,20,10)))))+IF($O130="",25,IF($P130&gt;Referensi!$P$8,30,IF($P130&gt;Referensi!$P$9,20,5)))+IF($U130="",5,IF($U130&gt;=Referensi!$P$10,20,IF($U130&gt;=Referensi!$P$11,10,5)))+IF($L130="Tertunda",15,IF(OR($L130="Negosiasi",$L130="Penawaran"),12,IF($L130="Berjalan",8,IF($L130="Prospek",5,0))))))</f>
        <v/>
      </c>
      <c r="T130" s="8" t="str">
        <f>IF($C130="","",IF(OR($L130="Selesai",$L130="Batal"),"Tidak aktif",IF($S130&gt;=Referensi!$P$12,"KRITIS",IF($S130&gt;=Referensi!$P$13,"Tinggi",IF($S130&gt;=Referensi!$P$14,"Sedang","Rendah")))))</f>
        <v/>
      </c>
      <c r="U130" s="14"/>
      <c r="V130" s="15"/>
      <c r="W130" s="9" t="str">
        <f t="shared" si="3"/>
        <v/>
      </c>
    </row>
    <row r="131" spans="1:23" ht="31.5" customHeight="1">
      <c r="A131" s="8" t="str">
        <f t="shared" si="0"/>
        <v/>
      </c>
      <c r="B131" s="9" t="str">
        <f t="array" ref="B131">IF(OR($C131="",$I131="",$J131=""),"","JSI-"&amp;IFERROR(INDEX(Referensi!$B$5:$B$14,MATCH($I131,Referensi!$A$5:$A$14,0)),"???")&amp;"-"&amp;IFERROR(INDEX(Referensi!$E$5:$E$14,MATCH($J131,Referensi!$D$5:$D$14,0)),"???")&amp;"-"&amp;TEXT(COUNTIFS($I$5:$I131,$I131,$J$5:$J131,$J131),"000"))</f>
        <v/>
      </c>
      <c r="C131" s="10"/>
      <c r="D131" s="10"/>
      <c r="E131" s="10"/>
      <c r="F131" s="10"/>
      <c r="G131" s="10"/>
      <c r="H131" s="10"/>
      <c r="I131" s="10"/>
      <c r="J131" s="11"/>
      <c r="K131" s="10"/>
      <c r="L131" s="11"/>
      <c r="M131" s="12"/>
      <c r="N131" s="12"/>
      <c r="O131" s="12"/>
      <c r="P131" s="13" t="str">
        <f t="shared" ca="1" si="1"/>
        <v/>
      </c>
      <c r="Q131" s="13" t="str">
        <f t="shared" ca="1" si="2"/>
        <v/>
      </c>
      <c r="R131" s="8" t="str">
        <f>IF($C131="","",IF($O131="","Belum ada kontak",IF($P131&gt;Referensi!$P$8,"Segera follow up",IF($P131&gt;Referensi!$P$9,"Perlu dipantau","Terkini"))))</f>
        <v/>
      </c>
      <c r="S131" s="13" t="str">
        <f>IF($C131="","",IF(OR($L131="Selesai",$L131="Batal"),0,IF($Q131="",5,IF($Q131&lt;0,50,IF($Q131&lt;=Referensi!$P$5,40,IF($Q131&lt;=Referensi!$P$6,30,IF($Q131&lt;=Referensi!$P$7,20,10)))))+IF($O131="",25,IF($P131&gt;Referensi!$P$8,30,IF($P131&gt;Referensi!$P$9,20,5)))+IF($U131="",5,IF($U131&gt;=Referensi!$P$10,20,IF($U131&gt;=Referensi!$P$11,10,5)))+IF($L131="Tertunda",15,IF(OR($L131="Negosiasi",$L131="Penawaran"),12,IF($L131="Berjalan",8,IF($L131="Prospek",5,0))))))</f>
        <v/>
      </c>
      <c r="T131" s="8" t="str">
        <f>IF($C131="","",IF(OR($L131="Selesai",$L131="Batal"),"Tidak aktif",IF($S131&gt;=Referensi!$P$12,"KRITIS",IF($S131&gt;=Referensi!$P$13,"Tinggi",IF($S131&gt;=Referensi!$P$14,"Sedang","Rendah")))))</f>
        <v/>
      </c>
      <c r="U131" s="14"/>
      <c r="V131" s="15"/>
      <c r="W131" s="9" t="str">
        <f t="shared" si="3"/>
        <v/>
      </c>
    </row>
    <row r="132" spans="1:23" ht="31.5" customHeight="1">
      <c r="A132" s="8" t="str">
        <f t="shared" si="0"/>
        <v/>
      </c>
      <c r="B132" s="9" t="str">
        <f t="array" ref="B132">IF(OR($C132="",$I132="",$J132=""),"","JSI-"&amp;IFERROR(INDEX(Referensi!$B$5:$B$14,MATCH($I132,Referensi!$A$5:$A$14,0)),"???")&amp;"-"&amp;IFERROR(INDEX(Referensi!$E$5:$E$14,MATCH($J132,Referensi!$D$5:$D$14,0)),"???")&amp;"-"&amp;TEXT(COUNTIFS($I$5:$I132,$I132,$J$5:$J132,$J132),"000"))</f>
        <v/>
      </c>
      <c r="C132" s="10"/>
      <c r="D132" s="10"/>
      <c r="E132" s="10"/>
      <c r="F132" s="10"/>
      <c r="G132" s="10"/>
      <c r="H132" s="10"/>
      <c r="I132" s="10"/>
      <c r="J132" s="11"/>
      <c r="K132" s="10"/>
      <c r="L132" s="11"/>
      <c r="M132" s="12"/>
      <c r="N132" s="12"/>
      <c r="O132" s="12"/>
      <c r="P132" s="13" t="str">
        <f t="shared" ca="1" si="1"/>
        <v/>
      </c>
      <c r="Q132" s="13" t="str">
        <f t="shared" ca="1" si="2"/>
        <v/>
      </c>
      <c r="R132" s="8" t="str">
        <f>IF($C132="","",IF($O132="","Belum ada kontak",IF($P132&gt;Referensi!$P$8,"Segera follow up",IF($P132&gt;Referensi!$P$9,"Perlu dipantau","Terkini"))))</f>
        <v/>
      </c>
      <c r="S132" s="13" t="str">
        <f>IF($C132="","",IF(OR($L132="Selesai",$L132="Batal"),0,IF($Q132="",5,IF($Q132&lt;0,50,IF($Q132&lt;=Referensi!$P$5,40,IF($Q132&lt;=Referensi!$P$6,30,IF($Q132&lt;=Referensi!$P$7,20,10)))))+IF($O132="",25,IF($P132&gt;Referensi!$P$8,30,IF($P132&gt;Referensi!$P$9,20,5)))+IF($U132="",5,IF($U132&gt;=Referensi!$P$10,20,IF($U132&gt;=Referensi!$P$11,10,5)))+IF($L132="Tertunda",15,IF(OR($L132="Negosiasi",$L132="Penawaran"),12,IF($L132="Berjalan",8,IF($L132="Prospek",5,0))))))</f>
        <v/>
      </c>
      <c r="T132" s="8" t="str">
        <f>IF($C132="","",IF(OR($L132="Selesai",$L132="Batal"),"Tidak aktif",IF($S132&gt;=Referensi!$P$12,"KRITIS",IF($S132&gt;=Referensi!$P$13,"Tinggi",IF($S132&gt;=Referensi!$P$14,"Sedang","Rendah")))))</f>
        <v/>
      </c>
      <c r="U132" s="14"/>
      <c r="V132" s="15"/>
      <c r="W132" s="9" t="str">
        <f t="shared" si="3"/>
        <v/>
      </c>
    </row>
    <row r="133" spans="1:23" ht="31.5" customHeight="1">
      <c r="A133" s="8" t="str">
        <f t="shared" si="0"/>
        <v/>
      </c>
      <c r="B133" s="9" t="str">
        <f t="array" ref="B133">IF(OR($C133="",$I133="",$J133=""),"","JSI-"&amp;IFERROR(INDEX(Referensi!$B$5:$B$14,MATCH($I133,Referensi!$A$5:$A$14,0)),"???")&amp;"-"&amp;IFERROR(INDEX(Referensi!$E$5:$E$14,MATCH($J133,Referensi!$D$5:$D$14,0)),"???")&amp;"-"&amp;TEXT(COUNTIFS($I$5:$I133,$I133,$J$5:$J133,$J133),"000"))</f>
        <v/>
      </c>
      <c r="C133" s="10"/>
      <c r="D133" s="10"/>
      <c r="E133" s="10"/>
      <c r="F133" s="10"/>
      <c r="G133" s="10"/>
      <c r="H133" s="10"/>
      <c r="I133" s="10"/>
      <c r="J133" s="11"/>
      <c r="K133" s="10"/>
      <c r="L133" s="11"/>
      <c r="M133" s="12"/>
      <c r="N133" s="12"/>
      <c r="O133" s="12"/>
      <c r="P133" s="13" t="str">
        <f t="shared" ca="1" si="1"/>
        <v/>
      </c>
      <c r="Q133" s="13" t="str">
        <f t="shared" ca="1" si="2"/>
        <v/>
      </c>
      <c r="R133" s="8" t="str">
        <f>IF($C133="","",IF($O133="","Belum ada kontak",IF($P133&gt;Referensi!$P$8,"Segera follow up",IF($P133&gt;Referensi!$P$9,"Perlu dipantau","Terkini"))))</f>
        <v/>
      </c>
      <c r="S133" s="13" t="str">
        <f>IF($C133="","",IF(OR($L133="Selesai",$L133="Batal"),0,IF($Q133="",5,IF($Q133&lt;0,50,IF($Q133&lt;=Referensi!$P$5,40,IF($Q133&lt;=Referensi!$P$6,30,IF($Q133&lt;=Referensi!$P$7,20,10)))))+IF($O133="",25,IF($P133&gt;Referensi!$P$8,30,IF($P133&gt;Referensi!$P$9,20,5)))+IF($U133="",5,IF($U133&gt;=Referensi!$P$10,20,IF($U133&gt;=Referensi!$P$11,10,5)))+IF($L133="Tertunda",15,IF(OR($L133="Negosiasi",$L133="Penawaran"),12,IF($L133="Berjalan",8,IF($L133="Prospek",5,0))))))</f>
        <v/>
      </c>
      <c r="T133" s="8" t="str">
        <f>IF($C133="","",IF(OR($L133="Selesai",$L133="Batal"),"Tidak aktif",IF($S133&gt;=Referensi!$P$12,"KRITIS",IF($S133&gt;=Referensi!$P$13,"Tinggi",IF($S133&gt;=Referensi!$P$14,"Sedang","Rendah")))))</f>
        <v/>
      </c>
      <c r="U133" s="14"/>
      <c r="V133" s="15"/>
      <c r="W133" s="9" t="str">
        <f t="shared" si="3"/>
        <v/>
      </c>
    </row>
    <row r="134" spans="1:23" ht="31.5" customHeight="1">
      <c r="A134" s="8" t="str">
        <f t="shared" si="0"/>
        <v/>
      </c>
      <c r="B134" s="9" t="str">
        <f t="array" ref="B134">IF(OR($C134="",$I134="",$J134=""),"","JSI-"&amp;IFERROR(INDEX(Referensi!$B$5:$B$14,MATCH($I134,Referensi!$A$5:$A$14,0)),"???")&amp;"-"&amp;IFERROR(INDEX(Referensi!$E$5:$E$14,MATCH($J134,Referensi!$D$5:$D$14,0)),"???")&amp;"-"&amp;TEXT(COUNTIFS($I$5:$I134,$I134,$J$5:$J134,$J134),"000"))</f>
        <v/>
      </c>
      <c r="C134" s="10"/>
      <c r="D134" s="10"/>
      <c r="E134" s="10"/>
      <c r="F134" s="10"/>
      <c r="G134" s="10"/>
      <c r="H134" s="10"/>
      <c r="I134" s="10"/>
      <c r="J134" s="11"/>
      <c r="K134" s="10"/>
      <c r="L134" s="11"/>
      <c r="M134" s="12"/>
      <c r="N134" s="12"/>
      <c r="O134" s="12"/>
      <c r="P134" s="13" t="str">
        <f t="shared" ca="1" si="1"/>
        <v/>
      </c>
      <c r="Q134" s="13" t="str">
        <f t="shared" ca="1" si="2"/>
        <v/>
      </c>
      <c r="R134" s="8" t="str">
        <f>IF($C134="","",IF($O134="","Belum ada kontak",IF($P134&gt;Referensi!$P$8,"Segera follow up",IF($P134&gt;Referensi!$P$9,"Perlu dipantau","Terkini"))))</f>
        <v/>
      </c>
      <c r="S134" s="13" t="str">
        <f>IF($C134="","",IF(OR($L134="Selesai",$L134="Batal"),0,IF($Q134="",5,IF($Q134&lt;0,50,IF($Q134&lt;=Referensi!$P$5,40,IF($Q134&lt;=Referensi!$P$6,30,IF($Q134&lt;=Referensi!$P$7,20,10)))))+IF($O134="",25,IF($P134&gt;Referensi!$P$8,30,IF($P134&gt;Referensi!$P$9,20,5)))+IF($U134="",5,IF($U134&gt;=Referensi!$P$10,20,IF($U134&gt;=Referensi!$P$11,10,5)))+IF($L134="Tertunda",15,IF(OR($L134="Negosiasi",$L134="Penawaran"),12,IF($L134="Berjalan",8,IF($L134="Prospek",5,0))))))</f>
        <v/>
      </c>
      <c r="T134" s="8" t="str">
        <f>IF($C134="","",IF(OR($L134="Selesai",$L134="Batal"),"Tidak aktif",IF($S134&gt;=Referensi!$P$12,"KRITIS",IF($S134&gt;=Referensi!$P$13,"Tinggi",IF($S134&gt;=Referensi!$P$14,"Sedang","Rendah")))))</f>
        <v/>
      </c>
      <c r="U134" s="14"/>
      <c r="V134" s="15"/>
      <c r="W134" s="9" t="str">
        <f t="shared" si="3"/>
        <v/>
      </c>
    </row>
    <row r="135" spans="1:23" ht="31.5" customHeight="1">
      <c r="A135" s="8" t="str">
        <f t="shared" si="0"/>
        <v/>
      </c>
      <c r="B135" s="9" t="str">
        <f t="array" ref="B135">IF(OR($C135="",$I135="",$J135=""),"","JSI-"&amp;IFERROR(INDEX(Referensi!$B$5:$B$14,MATCH($I135,Referensi!$A$5:$A$14,0)),"???")&amp;"-"&amp;IFERROR(INDEX(Referensi!$E$5:$E$14,MATCH($J135,Referensi!$D$5:$D$14,0)),"???")&amp;"-"&amp;TEXT(COUNTIFS($I$5:$I135,$I135,$J$5:$J135,$J135),"000"))</f>
        <v/>
      </c>
      <c r="C135" s="10"/>
      <c r="D135" s="10"/>
      <c r="E135" s="10"/>
      <c r="F135" s="10"/>
      <c r="G135" s="10"/>
      <c r="H135" s="10"/>
      <c r="I135" s="10"/>
      <c r="J135" s="11"/>
      <c r="K135" s="10"/>
      <c r="L135" s="11"/>
      <c r="M135" s="12"/>
      <c r="N135" s="12"/>
      <c r="O135" s="12"/>
      <c r="P135" s="13" t="str">
        <f t="shared" ca="1" si="1"/>
        <v/>
      </c>
      <c r="Q135" s="13" t="str">
        <f t="shared" ca="1" si="2"/>
        <v/>
      </c>
      <c r="R135" s="8" t="str">
        <f>IF($C135="","",IF($O135="","Belum ada kontak",IF($P135&gt;Referensi!$P$8,"Segera follow up",IF($P135&gt;Referensi!$P$9,"Perlu dipantau","Terkini"))))</f>
        <v/>
      </c>
      <c r="S135" s="13" t="str">
        <f>IF($C135="","",IF(OR($L135="Selesai",$L135="Batal"),0,IF($Q135="",5,IF($Q135&lt;0,50,IF($Q135&lt;=Referensi!$P$5,40,IF($Q135&lt;=Referensi!$P$6,30,IF($Q135&lt;=Referensi!$P$7,20,10)))))+IF($O135="",25,IF($P135&gt;Referensi!$P$8,30,IF($P135&gt;Referensi!$P$9,20,5)))+IF($U135="",5,IF($U135&gt;=Referensi!$P$10,20,IF($U135&gt;=Referensi!$P$11,10,5)))+IF($L135="Tertunda",15,IF(OR($L135="Negosiasi",$L135="Penawaran"),12,IF($L135="Berjalan",8,IF($L135="Prospek",5,0))))))</f>
        <v/>
      </c>
      <c r="T135" s="8" t="str">
        <f>IF($C135="","",IF(OR($L135="Selesai",$L135="Batal"),"Tidak aktif",IF($S135&gt;=Referensi!$P$12,"KRITIS",IF($S135&gt;=Referensi!$P$13,"Tinggi",IF($S135&gt;=Referensi!$P$14,"Sedang","Rendah")))))</f>
        <v/>
      </c>
      <c r="U135" s="14"/>
      <c r="V135" s="15"/>
      <c r="W135" s="9" t="str">
        <f t="shared" si="3"/>
        <v/>
      </c>
    </row>
    <row r="136" spans="1:23" ht="31.5" customHeight="1">
      <c r="A136" s="8" t="str">
        <f t="shared" si="0"/>
        <v/>
      </c>
      <c r="B136" s="9" t="str">
        <f t="array" ref="B136">IF(OR($C136="",$I136="",$J136=""),"","JSI-"&amp;IFERROR(INDEX(Referensi!$B$5:$B$14,MATCH($I136,Referensi!$A$5:$A$14,0)),"???")&amp;"-"&amp;IFERROR(INDEX(Referensi!$E$5:$E$14,MATCH($J136,Referensi!$D$5:$D$14,0)),"???")&amp;"-"&amp;TEXT(COUNTIFS($I$5:$I136,$I136,$J$5:$J136,$J136),"000"))</f>
        <v/>
      </c>
      <c r="C136" s="10"/>
      <c r="D136" s="10"/>
      <c r="E136" s="10"/>
      <c r="F136" s="10"/>
      <c r="G136" s="10"/>
      <c r="H136" s="10"/>
      <c r="I136" s="10"/>
      <c r="J136" s="11"/>
      <c r="K136" s="10"/>
      <c r="L136" s="11"/>
      <c r="M136" s="12"/>
      <c r="N136" s="12"/>
      <c r="O136" s="12"/>
      <c r="P136" s="13" t="str">
        <f t="shared" ca="1" si="1"/>
        <v/>
      </c>
      <c r="Q136" s="13" t="str">
        <f t="shared" ca="1" si="2"/>
        <v/>
      </c>
      <c r="R136" s="8" t="str">
        <f>IF($C136="","",IF($O136="","Belum ada kontak",IF($P136&gt;Referensi!$P$8,"Segera follow up",IF($P136&gt;Referensi!$P$9,"Perlu dipantau","Terkini"))))</f>
        <v/>
      </c>
      <c r="S136" s="13" t="str">
        <f>IF($C136="","",IF(OR($L136="Selesai",$L136="Batal"),0,IF($Q136="",5,IF($Q136&lt;0,50,IF($Q136&lt;=Referensi!$P$5,40,IF($Q136&lt;=Referensi!$P$6,30,IF($Q136&lt;=Referensi!$P$7,20,10)))))+IF($O136="",25,IF($P136&gt;Referensi!$P$8,30,IF($P136&gt;Referensi!$P$9,20,5)))+IF($U136="",5,IF($U136&gt;=Referensi!$P$10,20,IF($U136&gt;=Referensi!$P$11,10,5)))+IF($L136="Tertunda",15,IF(OR($L136="Negosiasi",$L136="Penawaran"),12,IF($L136="Berjalan",8,IF($L136="Prospek",5,0))))))</f>
        <v/>
      </c>
      <c r="T136" s="8" t="str">
        <f>IF($C136="","",IF(OR($L136="Selesai",$L136="Batal"),"Tidak aktif",IF($S136&gt;=Referensi!$P$12,"KRITIS",IF($S136&gt;=Referensi!$P$13,"Tinggi",IF($S136&gt;=Referensi!$P$14,"Sedang","Rendah")))))</f>
        <v/>
      </c>
      <c r="U136" s="14"/>
      <c r="V136" s="15"/>
      <c r="W136" s="9" t="str">
        <f t="shared" si="3"/>
        <v/>
      </c>
    </row>
    <row r="137" spans="1:23" ht="31.5" customHeight="1">
      <c r="A137" s="8" t="str">
        <f t="shared" si="0"/>
        <v/>
      </c>
      <c r="B137" s="9" t="str">
        <f t="array" ref="B137">IF(OR($C137="",$I137="",$J137=""),"","JSI-"&amp;IFERROR(INDEX(Referensi!$B$5:$B$14,MATCH($I137,Referensi!$A$5:$A$14,0)),"???")&amp;"-"&amp;IFERROR(INDEX(Referensi!$E$5:$E$14,MATCH($J137,Referensi!$D$5:$D$14,0)),"???")&amp;"-"&amp;TEXT(COUNTIFS($I$5:$I137,$I137,$J$5:$J137,$J137),"000"))</f>
        <v/>
      </c>
      <c r="C137" s="10"/>
      <c r="D137" s="10"/>
      <c r="E137" s="10"/>
      <c r="F137" s="10"/>
      <c r="G137" s="10"/>
      <c r="H137" s="10"/>
      <c r="I137" s="10"/>
      <c r="J137" s="11"/>
      <c r="K137" s="10"/>
      <c r="L137" s="11"/>
      <c r="M137" s="12"/>
      <c r="N137" s="12"/>
      <c r="O137" s="12"/>
      <c r="P137" s="13" t="str">
        <f t="shared" ca="1" si="1"/>
        <v/>
      </c>
      <c r="Q137" s="13" t="str">
        <f t="shared" ca="1" si="2"/>
        <v/>
      </c>
      <c r="R137" s="8" t="str">
        <f>IF($C137="","",IF($O137="","Belum ada kontak",IF($P137&gt;Referensi!$P$8,"Segera follow up",IF($P137&gt;Referensi!$P$9,"Perlu dipantau","Terkini"))))</f>
        <v/>
      </c>
      <c r="S137" s="13" t="str">
        <f>IF($C137="","",IF(OR($L137="Selesai",$L137="Batal"),0,IF($Q137="",5,IF($Q137&lt;0,50,IF($Q137&lt;=Referensi!$P$5,40,IF($Q137&lt;=Referensi!$P$6,30,IF($Q137&lt;=Referensi!$P$7,20,10)))))+IF($O137="",25,IF($P137&gt;Referensi!$P$8,30,IF($P137&gt;Referensi!$P$9,20,5)))+IF($U137="",5,IF($U137&gt;=Referensi!$P$10,20,IF($U137&gt;=Referensi!$P$11,10,5)))+IF($L137="Tertunda",15,IF(OR($L137="Negosiasi",$L137="Penawaran"),12,IF($L137="Berjalan",8,IF($L137="Prospek",5,0))))))</f>
        <v/>
      </c>
      <c r="T137" s="8" t="str">
        <f>IF($C137="","",IF(OR($L137="Selesai",$L137="Batal"),"Tidak aktif",IF($S137&gt;=Referensi!$P$12,"KRITIS",IF($S137&gt;=Referensi!$P$13,"Tinggi",IF($S137&gt;=Referensi!$P$14,"Sedang","Rendah")))))</f>
        <v/>
      </c>
      <c r="U137" s="14"/>
      <c r="V137" s="15"/>
      <c r="W137" s="9" t="str">
        <f t="shared" si="3"/>
        <v/>
      </c>
    </row>
    <row r="138" spans="1:23" ht="31.5" customHeight="1">
      <c r="A138" s="8" t="str">
        <f t="shared" si="0"/>
        <v/>
      </c>
      <c r="B138" s="9" t="str">
        <f t="array" ref="B138">IF(OR($C138="",$I138="",$J138=""),"","JSI-"&amp;IFERROR(INDEX(Referensi!$B$5:$B$14,MATCH($I138,Referensi!$A$5:$A$14,0)),"???")&amp;"-"&amp;IFERROR(INDEX(Referensi!$E$5:$E$14,MATCH($J138,Referensi!$D$5:$D$14,0)),"???")&amp;"-"&amp;TEXT(COUNTIFS($I$5:$I138,$I138,$J$5:$J138,$J138),"000"))</f>
        <v/>
      </c>
      <c r="C138" s="10"/>
      <c r="D138" s="10"/>
      <c r="E138" s="10"/>
      <c r="F138" s="10"/>
      <c r="G138" s="10"/>
      <c r="H138" s="10"/>
      <c r="I138" s="10"/>
      <c r="J138" s="11"/>
      <c r="K138" s="10"/>
      <c r="L138" s="11"/>
      <c r="M138" s="12"/>
      <c r="N138" s="12"/>
      <c r="O138" s="12"/>
      <c r="P138" s="13" t="str">
        <f t="shared" ca="1" si="1"/>
        <v/>
      </c>
      <c r="Q138" s="13" t="str">
        <f t="shared" ca="1" si="2"/>
        <v/>
      </c>
      <c r="R138" s="8" t="str">
        <f>IF($C138="","",IF($O138="","Belum ada kontak",IF($P138&gt;Referensi!$P$8,"Segera follow up",IF($P138&gt;Referensi!$P$9,"Perlu dipantau","Terkini"))))</f>
        <v/>
      </c>
      <c r="S138" s="13" t="str">
        <f>IF($C138="","",IF(OR($L138="Selesai",$L138="Batal"),0,IF($Q138="",5,IF($Q138&lt;0,50,IF($Q138&lt;=Referensi!$P$5,40,IF($Q138&lt;=Referensi!$P$6,30,IF($Q138&lt;=Referensi!$P$7,20,10)))))+IF($O138="",25,IF($P138&gt;Referensi!$P$8,30,IF($P138&gt;Referensi!$P$9,20,5)))+IF($U138="",5,IF($U138&gt;=Referensi!$P$10,20,IF($U138&gt;=Referensi!$P$11,10,5)))+IF($L138="Tertunda",15,IF(OR($L138="Negosiasi",$L138="Penawaran"),12,IF($L138="Berjalan",8,IF($L138="Prospek",5,0))))))</f>
        <v/>
      </c>
      <c r="T138" s="8" t="str">
        <f>IF($C138="","",IF(OR($L138="Selesai",$L138="Batal"),"Tidak aktif",IF($S138&gt;=Referensi!$P$12,"KRITIS",IF($S138&gt;=Referensi!$P$13,"Tinggi",IF($S138&gt;=Referensi!$P$14,"Sedang","Rendah")))))</f>
        <v/>
      </c>
      <c r="U138" s="14"/>
      <c r="V138" s="15"/>
      <c r="W138" s="9" t="str">
        <f t="shared" si="3"/>
        <v/>
      </c>
    </row>
    <row r="139" spans="1:23" ht="31.5" customHeight="1">
      <c r="A139" s="8" t="str">
        <f t="shared" si="0"/>
        <v/>
      </c>
      <c r="B139" s="9" t="str">
        <f t="array" ref="B139">IF(OR($C139="",$I139="",$J139=""),"","JSI-"&amp;IFERROR(INDEX(Referensi!$B$5:$B$14,MATCH($I139,Referensi!$A$5:$A$14,0)),"???")&amp;"-"&amp;IFERROR(INDEX(Referensi!$E$5:$E$14,MATCH($J139,Referensi!$D$5:$D$14,0)),"???")&amp;"-"&amp;TEXT(COUNTIFS($I$5:$I139,$I139,$J$5:$J139,$J139),"000"))</f>
        <v/>
      </c>
      <c r="C139" s="10"/>
      <c r="D139" s="10"/>
      <c r="E139" s="10"/>
      <c r="F139" s="10"/>
      <c r="G139" s="10"/>
      <c r="H139" s="10"/>
      <c r="I139" s="10"/>
      <c r="J139" s="11"/>
      <c r="K139" s="10"/>
      <c r="L139" s="11"/>
      <c r="M139" s="12"/>
      <c r="N139" s="12"/>
      <c r="O139" s="12"/>
      <c r="P139" s="13" t="str">
        <f t="shared" ca="1" si="1"/>
        <v/>
      </c>
      <c r="Q139" s="13" t="str">
        <f t="shared" ca="1" si="2"/>
        <v/>
      </c>
      <c r="R139" s="8" t="str">
        <f>IF($C139="","",IF($O139="","Belum ada kontak",IF($P139&gt;Referensi!$P$8,"Segera follow up",IF($P139&gt;Referensi!$P$9,"Perlu dipantau","Terkini"))))</f>
        <v/>
      </c>
      <c r="S139" s="13" t="str">
        <f>IF($C139="","",IF(OR($L139="Selesai",$L139="Batal"),0,IF($Q139="",5,IF($Q139&lt;0,50,IF($Q139&lt;=Referensi!$P$5,40,IF($Q139&lt;=Referensi!$P$6,30,IF($Q139&lt;=Referensi!$P$7,20,10)))))+IF($O139="",25,IF($P139&gt;Referensi!$P$8,30,IF($P139&gt;Referensi!$P$9,20,5)))+IF($U139="",5,IF($U139&gt;=Referensi!$P$10,20,IF($U139&gt;=Referensi!$P$11,10,5)))+IF($L139="Tertunda",15,IF(OR($L139="Negosiasi",$L139="Penawaran"),12,IF($L139="Berjalan",8,IF($L139="Prospek",5,0))))))</f>
        <v/>
      </c>
      <c r="T139" s="8" t="str">
        <f>IF($C139="","",IF(OR($L139="Selesai",$L139="Batal"),"Tidak aktif",IF($S139&gt;=Referensi!$P$12,"KRITIS",IF($S139&gt;=Referensi!$P$13,"Tinggi",IF($S139&gt;=Referensi!$P$14,"Sedang","Rendah")))))</f>
        <v/>
      </c>
      <c r="U139" s="14"/>
      <c r="V139" s="15"/>
      <c r="W139" s="9" t="str">
        <f t="shared" si="3"/>
        <v/>
      </c>
    </row>
    <row r="140" spans="1:23" ht="31.5" customHeight="1">
      <c r="A140" s="8" t="str">
        <f t="shared" si="0"/>
        <v/>
      </c>
      <c r="B140" s="9" t="str">
        <f t="array" ref="B140">IF(OR($C140="",$I140="",$J140=""),"","JSI-"&amp;IFERROR(INDEX(Referensi!$B$5:$B$14,MATCH($I140,Referensi!$A$5:$A$14,0)),"???")&amp;"-"&amp;IFERROR(INDEX(Referensi!$E$5:$E$14,MATCH($J140,Referensi!$D$5:$D$14,0)),"???")&amp;"-"&amp;TEXT(COUNTIFS($I$5:$I140,$I140,$J$5:$J140,$J140),"000"))</f>
        <v/>
      </c>
      <c r="C140" s="10"/>
      <c r="D140" s="10"/>
      <c r="E140" s="10"/>
      <c r="F140" s="10"/>
      <c r="G140" s="10"/>
      <c r="H140" s="10"/>
      <c r="I140" s="10"/>
      <c r="J140" s="11"/>
      <c r="K140" s="10"/>
      <c r="L140" s="11"/>
      <c r="M140" s="12"/>
      <c r="N140" s="12"/>
      <c r="O140" s="12"/>
      <c r="P140" s="13" t="str">
        <f t="shared" ca="1" si="1"/>
        <v/>
      </c>
      <c r="Q140" s="13" t="str">
        <f t="shared" ca="1" si="2"/>
        <v/>
      </c>
      <c r="R140" s="8" t="str">
        <f>IF($C140="","",IF($O140="","Belum ada kontak",IF($P140&gt;Referensi!$P$8,"Segera follow up",IF($P140&gt;Referensi!$P$9,"Perlu dipantau","Terkini"))))</f>
        <v/>
      </c>
      <c r="S140" s="13" t="str">
        <f>IF($C140="","",IF(OR($L140="Selesai",$L140="Batal"),0,IF($Q140="",5,IF($Q140&lt;0,50,IF($Q140&lt;=Referensi!$P$5,40,IF($Q140&lt;=Referensi!$P$6,30,IF($Q140&lt;=Referensi!$P$7,20,10)))))+IF($O140="",25,IF($P140&gt;Referensi!$P$8,30,IF($P140&gt;Referensi!$P$9,20,5)))+IF($U140="",5,IF($U140&gt;=Referensi!$P$10,20,IF($U140&gt;=Referensi!$P$11,10,5)))+IF($L140="Tertunda",15,IF(OR($L140="Negosiasi",$L140="Penawaran"),12,IF($L140="Berjalan",8,IF($L140="Prospek",5,0))))))</f>
        <v/>
      </c>
      <c r="T140" s="8" t="str">
        <f>IF($C140="","",IF(OR($L140="Selesai",$L140="Batal"),"Tidak aktif",IF($S140&gt;=Referensi!$P$12,"KRITIS",IF($S140&gt;=Referensi!$P$13,"Tinggi",IF($S140&gt;=Referensi!$P$14,"Sedang","Rendah")))))</f>
        <v/>
      </c>
      <c r="U140" s="14"/>
      <c r="V140" s="15"/>
      <c r="W140" s="9" t="str">
        <f t="shared" si="3"/>
        <v/>
      </c>
    </row>
    <row r="141" spans="1:23" ht="31.5" customHeight="1">
      <c r="A141" s="8" t="str">
        <f t="shared" si="0"/>
        <v/>
      </c>
      <c r="B141" s="9" t="str">
        <f t="array" ref="B141">IF(OR($C141="",$I141="",$J141=""),"","JSI-"&amp;IFERROR(INDEX(Referensi!$B$5:$B$14,MATCH($I141,Referensi!$A$5:$A$14,0)),"???")&amp;"-"&amp;IFERROR(INDEX(Referensi!$E$5:$E$14,MATCH($J141,Referensi!$D$5:$D$14,0)),"???")&amp;"-"&amp;TEXT(COUNTIFS($I$5:$I141,$I141,$J$5:$J141,$J141),"000"))</f>
        <v/>
      </c>
      <c r="C141" s="10"/>
      <c r="D141" s="10"/>
      <c r="E141" s="10"/>
      <c r="F141" s="10"/>
      <c r="G141" s="10"/>
      <c r="H141" s="10"/>
      <c r="I141" s="10"/>
      <c r="J141" s="11"/>
      <c r="K141" s="10"/>
      <c r="L141" s="11"/>
      <c r="M141" s="12"/>
      <c r="N141" s="12"/>
      <c r="O141" s="12"/>
      <c r="P141" s="13" t="str">
        <f t="shared" ca="1" si="1"/>
        <v/>
      </c>
      <c r="Q141" s="13" t="str">
        <f t="shared" ca="1" si="2"/>
        <v/>
      </c>
      <c r="R141" s="8" t="str">
        <f>IF($C141="","",IF($O141="","Belum ada kontak",IF($P141&gt;Referensi!$P$8,"Segera follow up",IF($P141&gt;Referensi!$P$9,"Perlu dipantau","Terkini"))))</f>
        <v/>
      </c>
      <c r="S141" s="13" t="str">
        <f>IF($C141="","",IF(OR($L141="Selesai",$L141="Batal"),0,IF($Q141="",5,IF($Q141&lt;0,50,IF($Q141&lt;=Referensi!$P$5,40,IF($Q141&lt;=Referensi!$P$6,30,IF($Q141&lt;=Referensi!$P$7,20,10)))))+IF($O141="",25,IF($P141&gt;Referensi!$P$8,30,IF($P141&gt;Referensi!$P$9,20,5)))+IF($U141="",5,IF($U141&gt;=Referensi!$P$10,20,IF($U141&gt;=Referensi!$P$11,10,5)))+IF($L141="Tertunda",15,IF(OR($L141="Negosiasi",$L141="Penawaran"),12,IF($L141="Berjalan",8,IF($L141="Prospek",5,0))))))</f>
        <v/>
      </c>
      <c r="T141" s="8" t="str">
        <f>IF($C141="","",IF(OR($L141="Selesai",$L141="Batal"),"Tidak aktif",IF($S141&gt;=Referensi!$P$12,"KRITIS",IF($S141&gt;=Referensi!$P$13,"Tinggi",IF($S141&gt;=Referensi!$P$14,"Sedang","Rendah")))))</f>
        <v/>
      </c>
      <c r="U141" s="14"/>
      <c r="V141" s="15"/>
      <c r="W141" s="9" t="str">
        <f t="shared" si="3"/>
        <v/>
      </c>
    </row>
    <row r="142" spans="1:23" ht="31.5" customHeight="1">
      <c r="A142" s="8" t="str">
        <f t="shared" si="0"/>
        <v/>
      </c>
      <c r="B142" s="9" t="str">
        <f t="array" ref="B142">IF(OR($C142="",$I142="",$J142=""),"","JSI-"&amp;IFERROR(INDEX(Referensi!$B$5:$B$14,MATCH($I142,Referensi!$A$5:$A$14,0)),"???")&amp;"-"&amp;IFERROR(INDEX(Referensi!$E$5:$E$14,MATCH($J142,Referensi!$D$5:$D$14,0)),"???")&amp;"-"&amp;TEXT(COUNTIFS($I$5:$I142,$I142,$J$5:$J142,$J142),"000"))</f>
        <v/>
      </c>
      <c r="C142" s="10"/>
      <c r="D142" s="10"/>
      <c r="E142" s="10"/>
      <c r="F142" s="10"/>
      <c r="G142" s="10"/>
      <c r="H142" s="10"/>
      <c r="I142" s="10"/>
      <c r="J142" s="11"/>
      <c r="K142" s="10"/>
      <c r="L142" s="11"/>
      <c r="M142" s="12"/>
      <c r="N142" s="12"/>
      <c r="O142" s="12"/>
      <c r="P142" s="13" t="str">
        <f t="shared" ca="1" si="1"/>
        <v/>
      </c>
      <c r="Q142" s="13" t="str">
        <f t="shared" ca="1" si="2"/>
        <v/>
      </c>
      <c r="R142" s="8" t="str">
        <f>IF($C142="","",IF($O142="","Belum ada kontak",IF($P142&gt;Referensi!$P$8,"Segera follow up",IF($P142&gt;Referensi!$P$9,"Perlu dipantau","Terkini"))))</f>
        <v/>
      </c>
      <c r="S142" s="13" t="str">
        <f>IF($C142="","",IF(OR($L142="Selesai",$L142="Batal"),0,IF($Q142="",5,IF($Q142&lt;0,50,IF($Q142&lt;=Referensi!$P$5,40,IF($Q142&lt;=Referensi!$P$6,30,IF($Q142&lt;=Referensi!$P$7,20,10)))))+IF($O142="",25,IF($P142&gt;Referensi!$P$8,30,IF($P142&gt;Referensi!$P$9,20,5)))+IF($U142="",5,IF($U142&gt;=Referensi!$P$10,20,IF($U142&gt;=Referensi!$P$11,10,5)))+IF($L142="Tertunda",15,IF(OR($L142="Negosiasi",$L142="Penawaran"),12,IF($L142="Berjalan",8,IF($L142="Prospek",5,0))))))</f>
        <v/>
      </c>
      <c r="T142" s="8" t="str">
        <f>IF($C142="","",IF(OR($L142="Selesai",$L142="Batal"),"Tidak aktif",IF($S142&gt;=Referensi!$P$12,"KRITIS",IF($S142&gt;=Referensi!$P$13,"Tinggi",IF($S142&gt;=Referensi!$P$14,"Sedang","Rendah")))))</f>
        <v/>
      </c>
      <c r="U142" s="14"/>
      <c r="V142" s="15"/>
      <c r="W142" s="9" t="str">
        <f t="shared" si="3"/>
        <v/>
      </c>
    </row>
    <row r="143" spans="1:23" ht="31.5" customHeight="1">
      <c r="A143" s="8" t="str">
        <f t="shared" si="0"/>
        <v/>
      </c>
      <c r="B143" s="9" t="str">
        <f t="array" ref="B143">IF(OR($C143="",$I143="",$J143=""),"","JSI-"&amp;IFERROR(INDEX(Referensi!$B$5:$B$14,MATCH($I143,Referensi!$A$5:$A$14,0)),"???")&amp;"-"&amp;IFERROR(INDEX(Referensi!$E$5:$E$14,MATCH($J143,Referensi!$D$5:$D$14,0)),"???")&amp;"-"&amp;TEXT(COUNTIFS($I$5:$I143,$I143,$J$5:$J143,$J143),"000"))</f>
        <v/>
      </c>
      <c r="C143" s="10"/>
      <c r="D143" s="10"/>
      <c r="E143" s="10"/>
      <c r="F143" s="10"/>
      <c r="G143" s="10"/>
      <c r="H143" s="10"/>
      <c r="I143" s="10"/>
      <c r="J143" s="11"/>
      <c r="K143" s="10"/>
      <c r="L143" s="11"/>
      <c r="M143" s="12"/>
      <c r="N143" s="12"/>
      <c r="O143" s="12"/>
      <c r="P143" s="13" t="str">
        <f t="shared" ca="1" si="1"/>
        <v/>
      </c>
      <c r="Q143" s="13" t="str">
        <f t="shared" ca="1" si="2"/>
        <v/>
      </c>
      <c r="R143" s="8" t="str">
        <f>IF($C143="","",IF($O143="","Belum ada kontak",IF($P143&gt;Referensi!$P$8,"Segera follow up",IF($P143&gt;Referensi!$P$9,"Perlu dipantau","Terkini"))))</f>
        <v/>
      </c>
      <c r="S143" s="13" t="str">
        <f>IF($C143="","",IF(OR($L143="Selesai",$L143="Batal"),0,IF($Q143="",5,IF($Q143&lt;0,50,IF($Q143&lt;=Referensi!$P$5,40,IF($Q143&lt;=Referensi!$P$6,30,IF($Q143&lt;=Referensi!$P$7,20,10)))))+IF($O143="",25,IF($P143&gt;Referensi!$P$8,30,IF($P143&gt;Referensi!$P$9,20,5)))+IF($U143="",5,IF($U143&gt;=Referensi!$P$10,20,IF($U143&gt;=Referensi!$P$11,10,5)))+IF($L143="Tertunda",15,IF(OR($L143="Negosiasi",$L143="Penawaran"),12,IF($L143="Berjalan",8,IF($L143="Prospek",5,0))))))</f>
        <v/>
      </c>
      <c r="T143" s="8" t="str">
        <f>IF($C143="","",IF(OR($L143="Selesai",$L143="Batal"),"Tidak aktif",IF($S143&gt;=Referensi!$P$12,"KRITIS",IF($S143&gt;=Referensi!$P$13,"Tinggi",IF($S143&gt;=Referensi!$P$14,"Sedang","Rendah")))))</f>
        <v/>
      </c>
      <c r="U143" s="14"/>
      <c r="V143" s="15"/>
      <c r="W143" s="9" t="str">
        <f t="shared" si="3"/>
        <v/>
      </c>
    </row>
    <row r="144" spans="1:23" ht="31.5" customHeight="1">
      <c r="A144" s="8" t="str">
        <f t="shared" si="0"/>
        <v/>
      </c>
      <c r="B144" s="9" t="str">
        <f t="array" ref="B144">IF(OR($C144="",$I144="",$J144=""),"","JSI-"&amp;IFERROR(INDEX(Referensi!$B$5:$B$14,MATCH($I144,Referensi!$A$5:$A$14,0)),"???")&amp;"-"&amp;IFERROR(INDEX(Referensi!$E$5:$E$14,MATCH($J144,Referensi!$D$5:$D$14,0)),"???")&amp;"-"&amp;TEXT(COUNTIFS($I$5:$I144,$I144,$J$5:$J144,$J144),"000"))</f>
        <v/>
      </c>
      <c r="C144" s="10"/>
      <c r="D144" s="10"/>
      <c r="E144" s="10"/>
      <c r="F144" s="10"/>
      <c r="G144" s="10"/>
      <c r="H144" s="10"/>
      <c r="I144" s="10"/>
      <c r="J144" s="11"/>
      <c r="K144" s="10"/>
      <c r="L144" s="11"/>
      <c r="M144" s="12"/>
      <c r="N144" s="12"/>
      <c r="O144" s="12"/>
      <c r="P144" s="13" t="str">
        <f t="shared" ca="1" si="1"/>
        <v/>
      </c>
      <c r="Q144" s="13" t="str">
        <f t="shared" ca="1" si="2"/>
        <v/>
      </c>
      <c r="R144" s="8" t="str">
        <f>IF($C144="","",IF($O144="","Belum ada kontak",IF($P144&gt;Referensi!$P$8,"Segera follow up",IF($P144&gt;Referensi!$P$9,"Perlu dipantau","Terkini"))))</f>
        <v/>
      </c>
      <c r="S144" s="13" t="str">
        <f>IF($C144="","",IF(OR($L144="Selesai",$L144="Batal"),0,IF($Q144="",5,IF($Q144&lt;0,50,IF($Q144&lt;=Referensi!$P$5,40,IF($Q144&lt;=Referensi!$P$6,30,IF($Q144&lt;=Referensi!$P$7,20,10)))))+IF($O144="",25,IF($P144&gt;Referensi!$P$8,30,IF($P144&gt;Referensi!$P$9,20,5)))+IF($U144="",5,IF($U144&gt;=Referensi!$P$10,20,IF($U144&gt;=Referensi!$P$11,10,5)))+IF($L144="Tertunda",15,IF(OR($L144="Negosiasi",$L144="Penawaran"),12,IF($L144="Berjalan",8,IF($L144="Prospek",5,0))))))</f>
        <v/>
      </c>
      <c r="T144" s="8" t="str">
        <f>IF($C144="","",IF(OR($L144="Selesai",$L144="Batal"),"Tidak aktif",IF($S144&gt;=Referensi!$P$12,"KRITIS",IF($S144&gt;=Referensi!$P$13,"Tinggi",IF($S144&gt;=Referensi!$P$14,"Sedang","Rendah")))))</f>
        <v/>
      </c>
      <c r="U144" s="14"/>
      <c r="V144" s="15"/>
      <c r="W144" s="9" t="str">
        <f t="shared" si="3"/>
        <v/>
      </c>
    </row>
    <row r="145" spans="1:23" ht="31.5" customHeight="1">
      <c r="A145" s="8" t="str">
        <f t="shared" si="0"/>
        <v/>
      </c>
      <c r="B145" s="9" t="str">
        <f t="array" ref="B145">IF(OR($C145="",$I145="",$J145=""),"","JSI-"&amp;IFERROR(INDEX(Referensi!$B$5:$B$14,MATCH($I145,Referensi!$A$5:$A$14,0)),"???")&amp;"-"&amp;IFERROR(INDEX(Referensi!$E$5:$E$14,MATCH($J145,Referensi!$D$5:$D$14,0)),"???")&amp;"-"&amp;TEXT(COUNTIFS($I$5:$I145,$I145,$J$5:$J145,$J145),"000"))</f>
        <v/>
      </c>
      <c r="C145" s="10"/>
      <c r="D145" s="10"/>
      <c r="E145" s="10"/>
      <c r="F145" s="10"/>
      <c r="G145" s="10"/>
      <c r="H145" s="10"/>
      <c r="I145" s="10"/>
      <c r="J145" s="11"/>
      <c r="K145" s="10"/>
      <c r="L145" s="11"/>
      <c r="M145" s="12"/>
      <c r="N145" s="12"/>
      <c r="O145" s="12"/>
      <c r="P145" s="13" t="str">
        <f t="shared" ca="1" si="1"/>
        <v/>
      </c>
      <c r="Q145" s="13" t="str">
        <f t="shared" ca="1" si="2"/>
        <v/>
      </c>
      <c r="R145" s="8" t="str">
        <f>IF($C145="","",IF($O145="","Belum ada kontak",IF($P145&gt;Referensi!$P$8,"Segera follow up",IF($P145&gt;Referensi!$P$9,"Perlu dipantau","Terkini"))))</f>
        <v/>
      </c>
      <c r="S145" s="13" t="str">
        <f>IF($C145="","",IF(OR($L145="Selesai",$L145="Batal"),0,IF($Q145="",5,IF($Q145&lt;0,50,IF($Q145&lt;=Referensi!$P$5,40,IF($Q145&lt;=Referensi!$P$6,30,IF($Q145&lt;=Referensi!$P$7,20,10)))))+IF($O145="",25,IF($P145&gt;Referensi!$P$8,30,IF($P145&gt;Referensi!$P$9,20,5)))+IF($U145="",5,IF($U145&gt;=Referensi!$P$10,20,IF($U145&gt;=Referensi!$P$11,10,5)))+IF($L145="Tertunda",15,IF(OR($L145="Negosiasi",$L145="Penawaran"),12,IF($L145="Berjalan",8,IF($L145="Prospek",5,0))))))</f>
        <v/>
      </c>
      <c r="T145" s="8" t="str">
        <f>IF($C145="","",IF(OR($L145="Selesai",$L145="Batal"),"Tidak aktif",IF($S145&gt;=Referensi!$P$12,"KRITIS",IF($S145&gt;=Referensi!$P$13,"Tinggi",IF($S145&gt;=Referensi!$P$14,"Sedang","Rendah")))))</f>
        <v/>
      </c>
      <c r="U145" s="14"/>
      <c r="V145" s="15"/>
      <c r="W145" s="9" t="str">
        <f t="shared" si="3"/>
        <v/>
      </c>
    </row>
    <row r="146" spans="1:23" ht="31.5" customHeight="1">
      <c r="A146" s="8" t="str">
        <f t="shared" si="0"/>
        <v/>
      </c>
      <c r="B146" s="9" t="str">
        <f t="array" ref="B146">IF(OR($C146="",$I146="",$J146=""),"","JSI-"&amp;IFERROR(INDEX(Referensi!$B$5:$B$14,MATCH($I146,Referensi!$A$5:$A$14,0)),"???")&amp;"-"&amp;IFERROR(INDEX(Referensi!$E$5:$E$14,MATCH($J146,Referensi!$D$5:$D$14,0)),"???")&amp;"-"&amp;TEXT(COUNTIFS($I$5:$I146,$I146,$J$5:$J146,$J146),"000"))</f>
        <v/>
      </c>
      <c r="C146" s="10"/>
      <c r="D146" s="10"/>
      <c r="E146" s="10"/>
      <c r="F146" s="10"/>
      <c r="G146" s="10"/>
      <c r="H146" s="10"/>
      <c r="I146" s="10"/>
      <c r="J146" s="11"/>
      <c r="K146" s="10"/>
      <c r="L146" s="11"/>
      <c r="M146" s="12"/>
      <c r="N146" s="12"/>
      <c r="O146" s="12"/>
      <c r="P146" s="13" t="str">
        <f t="shared" ca="1" si="1"/>
        <v/>
      </c>
      <c r="Q146" s="13" t="str">
        <f t="shared" ca="1" si="2"/>
        <v/>
      </c>
      <c r="R146" s="8" t="str">
        <f>IF($C146="","",IF($O146="","Belum ada kontak",IF($P146&gt;Referensi!$P$8,"Segera follow up",IF($P146&gt;Referensi!$P$9,"Perlu dipantau","Terkini"))))</f>
        <v/>
      </c>
      <c r="S146" s="13" t="str">
        <f>IF($C146="","",IF(OR($L146="Selesai",$L146="Batal"),0,IF($Q146="",5,IF($Q146&lt;0,50,IF($Q146&lt;=Referensi!$P$5,40,IF($Q146&lt;=Referensi!$P$6,30,IF($Q146&lt;=Referensi!$P$7,20,10)))))+IF($O146="",25,IF($P146&gt;Referensi!$P$8,30,IF($P146&gt;Referensi!$P$9,20,5)))+IF($U146="",5,IF($U146&gt;=Referensi!$P$10,20,IF($U146&gt;=Referensi!$P$11,10,5)))+IF($L146="Tertunda",15,IF(OR($L146="Negosiasi",$L146="Penawaran"),12,IF($L146="Berjalan",8,IF($L146="Prospek",5,0))))))</f>
        <v/>
      </c>
      <c r="T146" s="8" t="str">
        <f>IF($C146="","",IF(OR($L146="Selesai",$L146="Batal"),"Tidak aktif",IF($S146&gt;=Referensi!$P$12,"KRITIS",IF($S146&gt;=Referensi!$P$13,"Tinggi",IF($S146&gt;=Referensi!$P$14,"Sedang","Rendah")))))</f>
        <v/>
      </c>
      <c r="U146" s="14"/>
      <c r="V146" s="15"/>
      <c r="W146" s="9" t="str">
        <f t="shared" si="3"/>
        <v/>
      </c>
    </row>
    <row r="147" spans="1:23" ht="31.5" customHeight="1">
      <c r="A147" s="8" t="str">
        <f t="shared" si="0"/>
        <v/>
      </c>
      <c r="B147" s="9" t="str">
        <f t="array" ref="B147">IF(OR($C147="",$I147="",$J147=""),"","JSI-"&amp;IFERROR(INDEX(Referensi!$B$5:$B$14,MATCH($I147,Referensi!$A$5:$A$14,0)),"???")&amp;"-"&amp;IFERROR(INDEX(Referensi!$E$5:$E$14,MATCH($J147,Referensi!$D$5:$D$14,0)),"???")&amp;"-"&amp;TEXT(COUNTIFS($I$5:$I147,$I147,$J$5:$J147,$J147),"000"))</f>
        <v/>
      </c>
      <c r="C147" s="10"/>
      <c r="D147" s="10"/>
      <c r="E147" s="10"/>
      <c r="F147" s="10"/>
      <c r="G147" s="10"/>
      <c r="H147" s="10"/>
      <c r="I147" s="10"/>
      <c r="J147" s="11"/>
      <c r="K147" s="10"/>
      <c r="L147" s="11"/>
      <c r="M147" s="12"/>
      <c r="N147" s="12"/>
      <c r="O147" s="12"/>
      <c r="P147" s="13" t="str">
        <f t="shared" ca="1" si="1"/>
        <v/>
      </c>
      <c r="Q147" s="13" t="str">
        <f t="shared" ca="1" si="2"/>
        <v/>
      </c>
      <c r="R147" s="8" t="str">
        <f>IF($C147="","",IF($O147="","Belum ada kontak",IF($P147&gt;Referensi!$P$8,"Segera follow up",IF($P147&gt;Referensi!$P$9,"Perlu dipantau","Terkini"))))</f>
        <v/>
      </c>
      <c r="S147" s="13" t="str">
        <f>IF($C147="","",IF(OR($L147="Selesai",$L147="Batal"),0,IF($Q147="",5,IF($Q147&lt;0,50,IF($Q147&lt;=Referensi!$P$5,40,IF($Q147&lt;=Referensi!$P$6,30,IF($Q147&lt;=Referensi!$P$7,20,10)))))+IF($O147="",25,IF($P147&gt;Referensi!$P$8,30,IF($P147&gt;Referensi!$P$9,20,5)))+IF($U147="",5,IF($U147&gt;=Referensi!$P$10,20,IF($U147&gt;=Referensi!$P$11,10,5)))+IF($L147="Tertunda",15,IF(OR($L147="Negosiasi",$L147="Penawaran"),12,IF($L147="Berjalan",8,IF($L147="Prospek",5,0))))))</f>
        <v/>
      </c>
      <c r="T147" s="8" t="str">
        <f>IF($C147="","",IF(OR($L147="Selesai",$L147="Batal"),"Tidak aktif",IF($S147&gt;=Referensi!$P$12,"KRITIS",IF($S147&gt;=Referensi!$P$13,"Tinggi",IF($S147&gt;=Referensi!$P$14,"Sedang","Rendah")))))</f>
        <v/>
      </c>
      <c r="U147" s="14"/>
      <c r="V147" s="15"/>
      <c r="W147" s="9" t="str">
        <f t="shared" si="3"/>
        <v/>
      </c>
    </row>
    <row r="148" spans="1:23" ht="31.5" customHeight="1">
      <c r="A148" s="8" t="str">
        <f t="shared" si="0"/>
        <v/>
      </c>
      <c r="B148" s="9" t="str">
        <f t="array" ref="B148">IF(OR($C148="",$I148="",$J148=""),"","JSI-"&amp;IFERROR(INDEX(Referensi!$B$5:$B$14,MATCH($I148,Referensi!$A$5:$A$14,0)),"???")&amp;"-"&amp;IFERROR(INDEX(Referensi!$E$5:$E$14,MATCH($J148,Referensi!$D$5:$D$14,0)),"???")&amp;"-"&amp;TEXT(COUNTIFS($I$5:$I148,$I148,$J$5:$J148,$J148),"000"))</f>
        <v/>
      </c>
      <c r="C148" s="10"/>
      <c r="D148" s="10"/>
      <c r="E148" s="10"/>
      <c r="F148" s="10"/>
      <c r="G148" s="10"/>
      <c r="H148" s="10"/>
      <c r="I148" s="10"/>
      <c r="J148" s="11"/>
      <c r="K148" s="10"/>
      <c r="L148" s="11"/>
      <c r="M148" s="12"/>
      <c r="N148" s="12"/>
      <c r="O148" s="12"/>
      <c r="P148" s="13" t="str">
        <f t="shared" ca="1" si="1"/>
        <v/>
      </c>
      <c r="Q148" s="13" t="str">
        <f t="shared" ca="1" si="2"/>
        <v/>
      </c>
      <c r="R148" s="8" t="str">
        <f>IF($C148="","",IF($O148="","Belum ada kontak",IF($P148&gt;Referensi!$P$8,"Segera follow up",IF($P148&gt;Referensi!$P$9,"Perlu dipantau","Terkini"))))</f>
        <v/>
      </c>
      <c r="S148" s="13" t="str">
        <f>IF($C148="","",IF(OR($L148="Selesai",$L148="Batal"),0,IF($Q148="",5,IF($Q148&lt;0,50,IF($Q148&lt;=Referensi!$P$5,40,IF($Q148&lt;=Referensi!$P$6,30,IF($Q148&lt;=Referensi!$P$7,20,10)))))+IF($O148="",25,IF($P148&gt;Referensi!$P$8,30,IF($P148&gt;Referensi!$P$9,20,5)))+IF($U148="",5,IF($U148&gt;=Referensi!$P$10,20,IF($U148&gt;=Referensi!$P$11,10,5)))+IF($L148="Tertunda",15,IF(OR($L148="Negosiasi",$L148="Penawaran"),12,IF($L148="Berjalan",8,IF($L148="Prospek",5,0))))))</f>
        <v/>
      </c>
      <c r="T148" s="8" t="str">
        <f>IF($C148="","",IF(OR($L148="Selesai",$L148="Batal"),"Tidak aktif",IF($S148&gt;=Referensi!$P$12,"KRITIS",IF($S148&gt;=Referensi!$P$13,"Tinggi",IF($S148&gt;=Referensi!$P$14,"Sedang","Rendah")))))</f>
        <v/>
      </c>
      <c r="U148" s="14"/>
      <c r="V148" s="15"/>
      <c r="W148" s="9" t="str">
        <f t="shared" si="3"/>
        <v/>
      </c>
    </row>
    <row r="149" spans="1:23" ht="31.5" customHeight="1">
      <c r="A149" s="8" t="str">
        <f t="shared" si="0"/>
        <v/>
      </c>
      <c r="B149" s="9" t="str">
        <f t="array" ref="B149">IF(OR($C149="",$I149="",$J149=""),"","JSI-"&amp;IFERROR(INDEX(Referensi!$B$5:$B$14,MATCH($I149,Referensi!$A$5:$A$14,0)),"???")&amp;"-"&amp;IFERROR(INDEX(Referensi!$E$5:$E$14,MATCH($J149,Referensi!$D$5:$D$14,0)),"???")&amp;"-"&amp;TEXT(COUNTIFS($I$5:$I149,$I149,$J$5:$J149,$J149),"000"))</f>
        <v/>
      </c>
      <c r="C149" s="10"/>
      <c r="D149" s="10"/>
      <c r="E149" s="10"/>
      <c r="F149" s="10"/>
      <c r="G149" s="10"/>
      <c r="H149" s="10"/>
      <c r="I149" s="10"/>
      <c r="J149" s="11"/>
      <c r="K149" s="10"/>
      <c r="L149" s="11"/>
      <c r="M149" s="12"/>
      <c r="N149" s="12"/>
      <c r="O149" s="12"/>
      <c r="P149" s="13" t="str">
        <f t="shared" ca="1" si="1"/>
        <v/>
      </c>
      <c r="Q149" s="13" t="str">
        <f t="shared" ca="1" si="2"/>
        <v/>
      </c>
      <c r="R149" s="8" t="str">
        <f>IF($C149="","",IF($O149="","Belum ada kontak",IF($P149&gt;Referensi!$P$8,"Segera follow up",IF($P149&gt;Referensi!$P$9,"Perlu dipantau","Terkini"))))</f>
        <v/>
      </c>
      <c r="S149" s="13" t="str">
        <f>IF($C149="","",IF(OR($L149="Selesai",$L149="Batal"),0,IF($Q149="",5,IF($Q149&lt;0,50,IF($Q149&lt;=Referensi!$P$5,40,IF($Q149&lt;=Referensi!$P$6,30,IF($Q149&lt;=Referensi!$P$7,20,10)))))+IF($O149="",25,IF($P149&gt;Referensi!$P$8,30,IF($P149&gt;Referensi!$P$9,20,5)))+IF($U149="",5,IF($U149&gt;=Referensi!$P$10,20,IF($U149&gt;=Referensi!$P$11,10,5)))+IF($L149="Tertunda",15,IF(OR($L149="Negosiasi",$L149="Penawaran"),12,IF($L149="Berjalan",8,IF($L149="Prospek",5,0))))))</f>
        <v/>
      </c>
      <c r="T149" s="8" t="str">
        <f>IF($C149="","",IF(OR($L149="Selesai",$L149="Batal"),"Tidak aktif",IF($S149&gt;=Referensi!$P$12,"KRITIS",IF($S149&gt;=Referensi!$P$13,"Tinggi",IF($S149&gt;=Referensi!$P$14,"Sedang","Rendah")))))</f>
        <v/>
      </c>
      <c r="U149" s="14"/>
      <c r="V149" s="15"/>
      <c r="W149" s="9" t="str">
        <f t="shared" si="3"/>
        <v/>
      </c>
    </row>
    <row r="150" spans="1:23" ht="31.5" customHeight="1">
      <c r="A150" s="8" t="str">
        <f t="shared" si="0"/>
        <v/>
      </c>
      <c r="B150" s="9" t="str">
        <f t="array" ref="B150">IF(OR($C150="",$I150="",$J150=""),"","JSI-"&amp;IFERROR(INDEX(Referensi!$B$5:$B$14,MATCH($I150,Referensi!$A$5:$A$14,0)),"???")&amp;"-"&amp;IFERROR(INDEX(Referensi!$E$5:$E$14,MATCH($J150,Referensi!$D$5:$D$14,0)),"???")&amp;"-"&amp;TEXT(COUNTIFS($I$5:$I150,$I150,$J$5:$J150,$J150),"000"))</f>
        <v/>
      </c>
      <c r="C150" s="10"/>
      <c r="D150" s="10"/>
      <c r="E150" s="10"/>
      <c r="F150" s="10"/>
      <c r="G150" s="10"/>
      <c r="H150" s="10"/>
      <c r="I150" s="10"/>
      <c r="J150" s="11"/>
      <c r="K150" s="10"/>
      <c r="L150" s="11"/>
      <c r="M150" s="12"/>
      <c r="N150" s="12"/>
      <c r="O150" s="12"/>
      <c r="P150" s="13" t="str">
        <f t="shared" ca="1" si="1"/>
        <v/>
      </c>
      <c r="Q150" s="13" t="str">
        <f t="shared" ca="1" si="2"/>
        <v/>
      </c>
      <c r="R150" s="8" t="str">
        <f>IF($C150="","",IF($O150="","Belum ada kontak",IF($P150&gt;Referensi!$P$8,"Segera follow up",IF($P150&gt;Referensi!$P$9,"Perlu dipantau","Terkini"))))</f>
        <v/>
      </c>
      <c r="S150" s="13" t="str">
        <f>IF($C150="","",IF(OR($L150="Selesai",$L150="Batal"),0,IF($Q150="",5,IF($Q150&lt;0,50,IF($Q150&lt;=Referensi!$P$5,40,IF($Q150&lt;=Referensi!$P$6,30,IF($Q150&lt;=Referensi!$P$7,20,10)))))+IF($O150="",25,IF($P150&gt;Referensi!$P$8,30,IF($P150&gt;Referensi!$P$9,20,5)))+IF($U150="",5,IF($U150&gt;=Referensi!$P$10,20,IF($U150&gt;=Referensi!$P$11,10,5)))+IF($L150="Tertunda",15,IF(OR($L150="Negosiasi",$L150="Penawaran"),12,IF($L150="Berjalan",8,IF($L150="Prospek",5,0))))))</f>
        <v/>
      </c>
      <c r="T150" s="8" t="str">
        <f>IF($C150="","",IF(OR($L150="Selesai",$L150="Batal"),"Tidak aktif",IF($S150&gt;=Referensi!$P$12,"KRITIS",IF($S150&gt;=Referensi!$P$13,"Tinggi",IF($S150&gt;=Referensi!$P$14,"Sedang","Rendah")))))</f>
        <v/>
      </c>
      <c r="U150" s="14"/>
      <c r="V150" s="15"/>
      <c r="W150" s="9" t="str">
        <f t="shared" si="3"/>
        <v/>
      </c>
    </row>
    <row r="151" spans="1:23" ht="31.5" customHeight="1">
      <c r="A151" s="8" t="str">
        <f t="shared" si="0"/>
        <v/>
      </c>
      <c r="B151" s="9" t="str">
        <f t="array" ref="B151">IF(OR($C151="",$I151="",$J151=""),"","JSI-"&amp;IFERROR(INDEX(Referensi!$B$5:$B$14,MATCH($I151,Referensi!$A$5:$A$14,0)),"???")&amp;"-"&amp;IFERROR(INDEX(Referensi!$E$5:$E$14,MATCH($J151,Referensi!$D$5:$D$14,0)),"???")&amp;"-"&amp;TEXT(COUNTIFS($I$5:$I151,$I151,$J$5:$J151,$J151),"000"))</f>
        <v/>
      </c>
      <c r="C151" s="10"/>
      <c r="D151" s="10"/>
      <c r="E151" s="10"/>
      <c r="F151" s="10"/>
      <c r="G151" s="10"/>
      <c r="H151" s="10"/>
      <c r="I151" s="10"/>
      <c r="J151" s="11"/>
      <c r="K151" s="10"/>
      <c r="L151" s="11"/>
      <c r="M151" s="12"/>
      <c r="N151" s="12"/>
      <c r="O151" s="12"/>
      <c r="P151" s="13" t="str">
        <f t="shared" ca="1" si="1"/>
        <v/>
      </c>
      <c r="Q151" s="13" t="str">
        <f t="shared" ca="1" si="2"/>
        <v/>
      </c>
      <c r="R151" s="8" t="str">
        <f>IF($C151="","",IF($O151="","Belum ada kontak",IF($P151&gt;Referensi!$P$8,"Segera follow up",IF($P151&gt;Referensi!$P$9,"Perlu dipantau","Terkini"))))</f>
        <v/>
      </c>
      <c r="S151" s="13" t="str">
        <f>IF($C151="","",IF(OR($L151="Selesai",$L151="Batal"),0,IF($Q151="",5,IF($Q151&lt;0,50,IF($Q151&lt;=Referensi!$P$5,40,IF($Q151&lt;=Referensi!$P$6,30,IF($Q151&lt;=Referensi!$P$7,20,10)))))+IF($O151="",25,IF($P151&gt;Referensi!$P$8,30,IF($P151&gt;Referensi!$P$9,20,5)))+IF($U151="",5,IF($U151&gt;=Referensi!$P$10,20,IF($U151&gt;=Referensi!$P$11,10,5)))+IF($L151="Tertunda",15,IF(OR($L151="Negosiasi",$L151="Penawaran"),12,IF($L151="Berjalan",8,IF($L151="Prospek",5,0))))))</f>
        <v/>
      </c>
      <c r="T151" s="8" t="str">
        <f>IF($C151="","",IF(OR($L151="Selesai",$L151="Batal"),"Tidak aktif",IF($S151&gt;=Referensi!$P$12,"KRITIS",IF($S151&gt;=Referensi!$P$13,"Tinggi",IF($S151&gt;=Referensi!$P$14,"Sedang","Rendah")))))</f>
        <v/>
      </c>
      <c r="U151" s="14"/>
      <c r="V151" s="15"/>
      <c r="W151" s="9" t="str">
        <f t="shared" si="3"/>
        <v/>
      </c>
    </row>
    <row r="152" spans="1:23" ht="31.5" customHeight="1">
      <c r="A152" s="8" t="str">
        <f t="shared" si="0"/>
        <v/>
      </c>
      <c r="B152" s="9" t="str">
        <f t="array" ref="B152">IF(OR($C152="",$I152="",$J152=""),"","JSI-"&amp;IFERROR(INDEX(Referensi!$B$5:$B$14,MATCH($I152,Referensi!$A$5:$A$14,0)),"???")&amp;"-"&amp;IFERROR(INDEX(Referensi!$E$5:$E$14,MATCH($J152,Referensi!$D$5:$D$14,0)),"???")&amp;"-"&amp;TEXT(COUNTIFS($I$5:$I152,$I152,$J$5:$J152,$J152),"000"))</f>
        <v/>
      </c>
      <c r="C152" s="10"/>
      <c r="D152" s="10"/>
      <c r="E152" s="10"/>
      <c r="F152" s="10"/>
      <c r="G152" s="10"/>
      <c r="H152" s="10"/>
      <c r="I152" s="10"/>
      <c r="J152" s="11"/>
      <c r="K152" s="10"/>
      <c r="L152" s="11"/>
      <c r="M152" s="12"/>
      <c r="N152" s="12"/>
      <c r="O152" s="12"/>
      <c r="P152" s="13" t="str">
        <f t="shared" ca="1" si="1"/>
        <v/>
      </c>
      <c r="Q152" s="13" t="str">
        <f t="shared" ca="1" si="2"/>
        <v/>
      </c>
      <c r="R152" s="8" t="str">
        <f>IF($C152="","",IF($O152="","Belum ada kontak",IF($P152&gt;Referensi!$P$8,"Segera follow up",IF($P152&gt;Referensi!$P$9,"Perlu dipantau","Terkini"))))</f>
        <v/>
      </c>
      <c r="S152" s="13" t="str">
        <f>IF($C152="","",IF(OR($L152="Selesai",$L152="Batal"),0,IF($Q152="",5,IF($Q152&lt;0,50,IF($Q152&lt;=Referensi!$P$5,40,IF($Q152&lt;=Referensi!$P$6,30,IF($Q152&lt;=Referensi!$P$7,20,10)))))+IF($O152="",25,IF($P152&gt;Referensi!$P$8,30,IF($P152&gt;Referensi!$P$9,20,5)))+IF($U152="",5,IF($U152&gt;=Referensi!$P$10,20,IF($U152&gt;=Referensi!$P$11,10,5)))+IF($L152="Tertunda",15,IF(OR($L152="Negosiasi",$L152="Penawaran"),12,IF($L152="Berjalan",8,IF($L152="Prospek",5,0))))))</f>
        <v/>
      </c>
      <c r="T152" s="8" t="str">
        <f>IF($C152="","",IF(OR($L152="Selesai",$L152="Batal"),"Tidak aktif",IF($S152&gt;=Referensi!$P$12,"KRITIS",IF($S152&gt;=Referensi!$P$13,"Tinggi",IF($S152&gt;=Referensi!$P$14,"Sedang","Rendah")))))</f>
        <v/>
      </c>
      <c r="U152" s="14"/>
      <c r="V152" s="15"/>
      <c r="W152" s="9" t="str">
        <f t="shared" si="3"/>
        <v/>
      </c>
    </row>
    <row r="153" spans="1:23" ht="31.5" customHeight="1">
      <c r="A153" s="8" t="str">
        <f t="shared" si="0"/>
        <v/>
      </c>
      <c r="B153" s="9" t="str">
        <f t="array" ref="B153">IF(OR($C153="",$I153="",$J153=""),"","JSI-"&amp;IFERROR(INDEX(Referensi!$B$5:$B$14,MATCH($I153,Referensi!$A$5:$A$14,0)),"???")&amp;"-"&amp;IFERROR(INDEX(Referensi!$E$5:$E$14,MATCH($J153,Referensi!$D$5:$D$14,0)),"???")&amp;"-"&amp;TEXT(COUNTIFS($I$5:$I153,$I153,$J$5:$J153,$J153),"000"))</f>
        <v/>
      </c>
      <c r="C153" s="10"/>
      <c r="D153" s="10"/>
      <c r="E153" s="10"/>
      <c r="F153" s="10"/>
      <c r="G153" s="10"/>
      <c r="H153" s="10"/>
      <c r="I153" s="10"/>
      <c r="J153" s="11"/>
      <c r="K153" s="10"/>
      <c r="L153" s="11"/>
      <c r="M153" s="12"/>
      <c r="N153" s="12"/>
      <c r="O153" s="12"/>
      <c r="P153" s="13" t="str">
        <f t="shared" ca="1" si="1"/>
        <v/>
      </c>
      <c r="Q153" s="13" t="str">
        <f t="shared" ca="1" si="2"/>
        <v/>
      </c>
      <c r="R153" s="8" t="str">
        <f>IF($C153="","",IF($O153="","Belum ada kontak",IF($P153&gt;Referensi!$P$8,"Segera follow up",IF($P153&gt;Referensi!$P$9,"Perlu dipantau","Terkini"))))</f>
        <v/>
      </c>
      <c r="S153" s="13" t="str">
        <f>IF($C153="","",IF(OR($L153="Selesai",$L153="Batal"),0,IF($Q153="",5,IF($Q153&lt;0,50,IF($Q153&lt;=Referensi!$P$5,40,IF($Q153&lt;=Referensi!$P$6,30,IF($Q153&lt;=Referensi!$P$7,20,10)))))+IF($O153="",25,IF($P153&gt;Referensi!$P$8,30,IF($P153&gt;Referensi!$P$9,20,5)))+IF($U153="",5,IF($U153&gt;=Referensi!$P$10,20,IF($U153&gt;=Referensi!$P$11,10,5)))+IF($L153="Tertunda",15,IF(OR($L153="Negosiasi",$L153="Penawaran"),12,IF($L153="Berjalan",8,IF($L153="Prospek",5,0))))))</f>
        <v/>
      </c>
      <c r="T153" s="8" t="str">
        <f>IF($C153="","",IF(OR($L153="Selesai",$L153="Batal"),"Tidak aktif",IF($S153&gt;=Referensi!$P$12,"KRITIS",IF($S153&gt;=Referensi!$P$13,"Tinggi",IF($S153&gt;=Referensi!$P$14,"Sedang","Rendah")))))</f>
        <v/>
      </c>
      <c r="U153" s="14"/>
      <c r="V153" s="15"/>
      <c r="W153" s="9" t="str">
        <f t="shared" si="3"/>
        <v/>
      </c>
    </row>
    <row r="154" spans="1:23" ht="31.5" customHeight="1">
      <c r="A154" s="8" t="str">
        <f t="shared" si="0"/>
        <v/>
      </c>
      <c r="B154" s="9" t="str">
        <f t="array" ref="B154">IF(OR($C154="",$I154="",$J154=""),"","JSI-"&amp;IFERROR(INDEX(Referensi!$B$5:$B$14,MATCH($I154,Referensi!$A$5:$A$14,0)),"???")&amp;"-"&amp;IFERROR(INDEX(Referensi!$E$5:$E$14,MATCH($J154,Referensi!$D$5:$D$14,0)),"???")&amp;"-"&amp;TEXT(COUNTIFS($I$5:$I154,$I154,$J$5:$J154,$J154),"000"))</f>
        <v/>
      </c>
      <c r="C154" s="10"/>
      <c r="D154" s="10"/>
      <c r="E154" s="10"/>
      <c r="F154" s="10"/>
      <c r="G154" s="10"/>
      <c r="H154" s="10"/>
      <c r="I154" s="10"/>
      <c r="J154" s="11"/>
      <c r="K154" s="10"/>
      <c r="L154" s="11"/>
      <c r="M154" s="12"/>
      <c r="N154" s="12"/>
      <c r="O154" s="12"/>
      <c r="P154" s="13" t="str">
        <f t="shared" ca="1" si="1"/>
        <v/>
      </c>
      <c r="Q154" s="13" t="str">
        <f t="shared" ca="1" si="2"/>
        <v/>
      </c>
      <c r="R154" s="8" t="str">
        <f>IF($C154="","",IF($O154="","Belum ada kontak",IF($P154&gt;Referensi!$P$8,"Segera follow up",IF($P154&gt;Referensi!$P$9,"Perlu dipantau","Terkini"))))</f>
        <v/>
      </c>
      <c r="S154" s="13" t="str">
        <f>IF($C154="","",IF(OR($L154="Selesai",$L154="Batal"),0,IF($Q154="",5,IF($Q154&lt;0,50,IF($Q154&lt;=Referensi!$P$5,40,IF($Q154&lt;=Referensi!$P$6,30,IF($Q154&lt;=Referensi!$P$7,20,10)))))+IF($O154="",25,IF($P154&gt;Referensi!$P$8,30,IF($P154&gt;Referensi!$P$9,20,5)))+IF($U154="",5,IF($U154&gt;=Referensi!$P$10,20,IF($U154&gt;=Referensi!$P$11,10,5)))+IF($L154="Tertunda",15,IF(OR($L154="Negosiasi",$L154="Penawaran"),12,IF($L154="Berjalan",8,IF($L154="Prospek",5,0))))))</f>
        <v/>
      </c>
      <c r="T154" s="8" t="str">
        <f>IF($C154="","",IF(OR($L154="Selesai",$L154="Batal"),"Tidak aktif",IF($S154&gt;=Referensi!$P$12,"KRITIS",IF($S154&gt;=Referensi!$P$13,"Tinggi",IF($S154&gt;=Referensi!$P$14,"Sedang","Rendah")))))</f>
        <v/>
      </c>
      <c r="U154" s="14"/>
      <c r="V154" s="15"/>
      <c r="W154" s="9" t="str">
        <f t="shared" si="3"/>
        <v/>
      </c>
    </row>
    <row r="155" spans="1:23" ht="31.5" customHeight="1">
      <c r="A155" s="8" t="str">
        <f t="shared" si="0"/>
        <v/>
      </c>
      <c r="B155" s="9" t="str">
        <f t="array" ref="B155">IF(OR($C155="",$I155="",$J155=""),"","JSI-"&amp;IFERROR(INDEX(Referensi!$B$5:$B$14,MATCH($I155,Referensi!$A$5:$A$14,0)),"???")&amp;"-"&amp;IFERROR(INDEX(Referensi!$E$5:$E$14,MATCH($J155,Referensi!$D$5:$D$14,0)),"???")&amp;"-"&amp;TEXT(COUNTIFS($I$5:$I155,$I155,$J$5:$J155,$J155),"000"))</f>
        <v/>
      </c>
      <c r="C155" s="10"/>
      <c r="D155" s="10"/>
      <c r="E155" s="10"/>
      <c r="F155" s="10"/>
      <c r="G155" s="10"/>
      <c r="H155" s="10"/>
      <c r="I155" s="10"/>
      <c r="J155" s="11"/>
      <c r="K155" s="10"/>
      <c r="L155" s="11"/>
      <c r="M155" s="12"/>
      <c r="N155" s="12"/>
      <c r="O155" s="12"/>
      <c r="P155" s="13" t="str">
        <f t="shared" ca="1" si="1"/>
        <v/>
      </c>
      <c r="Q155" s="13" t="str">
        <f t="shared" ca="1" si="2"/>
        <v/>
      </c>
      <c r="R155" s="8" t="str">
        <f>IF($C155="","",IF($O155="","Belum ada kontak",IF($P155&gt;Referensi!$P$8,"Segera follow up",IF($P155&gt;Referensi!$P$9,"Perlu dipantau","Terkini"))))</f>
        <v/>
      </c>
      <c r="S155" s="13" t="str">
        <f>IF($C155="","",IF(OR($L155="Selesai",$L155="Batal"),0,IF($Q155="",5,IF($Q155&lt;0,50,IF($Q155&lt;=Referensi!$P$5,40,IF($Q155&lt;=Referensi!$P$6,30,IF($Q155&lt;=Referensi!$P$7,20,10)))))+IF($O155="",25,IF($P155&gt;Referensi!$P$8,30,IF($P155&gt;Referensi!$P$9,20,5)))+IF($U155="",5,IF($U155&gt;=Referensi!$P$10,20,IF($U155&gt;=Referensi!$P$11,10,5)))+IF($L155="Tertunda",15,IF(OR($L155="Negosiasi",$L155="Penawaran"),12,IF($L155="Berjalan",8,IF($L155="Prospek",5,0))))))</f>
        <v/>
      </c>
      <c r="T155" s="8" t="str">
        <f>IF($C155="","",IF(OR($L155="Selesai",$L155="Batal"),"Tidak aktif",IF($S155&gt;=Referensi!$P$12,"KRITIS",IF($S155&gt;=Referensi!$P$13,"Tinggi",IF($S155&gt;=Referensi!$P$14,"Sedang","Rendah")))))</f>
        <v/>
      </c>
      <c r="U155" s="14"/>
      <c r="V155" s="15"/>
      <c r="W155" s="9" t="str">
        <f t="shared" si="3"/>
        <v/>
      </c>
    </row>
    <row r="156" spans="1:23" ht="31.5" customHeight="1">
      <c r="A156" s="8" t="str">
        <f t="shared" si="0"/>
        <v/>
      </c>
      <c r="B156" s="9" t="str">
        <f t="array" ref="B156">IF(OR($C156="",$I156="",$J156=""),"","JSI-"&amp;IFERROR(INDEX(Referensi!$B$5:$B$14,MATCH($I156,Referensi!$A$5:$A$14,0)),"???")&amp;"-"&amp;IFERROR(INDEX(Referensi!$E$5:$E$14,MATCH($J156,Referensi!$D$5:$D$14,0)),"???")&amp;"-"&amp;TEXT(COUNTIFS($I$5:$I156,$I156,$J$5:$J156,$J156),"000"))</f>
        <v/>
      </c>
      <c r="C156" s="10"/>
      <c r="D156" s="10"/>
      <c r="E156" s="10"/>
      <c r="F156" s="10"/>
      <c r="G156" s="10"/>
      <c r="H156" s="10"/>
      <c r="I156" s="10"/>
      <c r="J156" s="11"/>
      <c r="K156" s="10"/>
      <c r="L156" s="11"/>
      <c r="M156" s="12"/>
      <c r="N156" s="12"/>
      <c r="O156" s="12"/>
      <c r="P156" s="13" t="str">
        <f t="shared" ca="1" si="1"/>
        <v/>
      </c>
      <c r="Q156" s="13" t="str">
        <f t="shared" ca="1" si="2"/>
        <v/>
      </c>
      <c r="R156" s="8" t="str">
        <f>IF($C156="","",IF($O156="","Belum ada kontak",IF($P156&gt;Referensi!$P$8,"Segera follow up",IF($P156&gt;Referensi!$P$9,"Perlu dipantau","Terkini"))))</f>
        <v/>
      </c>
      <c r="S156" s="13" t="str">
        <f>IF($C156="","",IF(OR($L156="Selesai",$L156="Batal"),0,IF($Q156="",5,IF($Q156&lt;0,50,IF($Q156&lt;=Referensi!$P$5,40,IF($Q156&lt;=Referensi!$P$6,30,IF($Q156&lt;=Referensi!$P$7,20,10)))))+IF($O156="",25,IF($P156&gt;Referensi!$P$8,30,IF($P156&gt;Referensi!$P$9,20,5)))+IF($U156="",5,IF($U156&gt;=Referensi!$P$10,20,IF($U156&gt;=Referensi!$P$11,10,5)))+IF($L156="Tertunda",15,IF(OR($L156="Negosiasi",$L156="Penawaran"),12,IF($L156="Berjalan",8,IF($L156="Prospek",5,0))))))</f>
        <v/>
      </c>
      <c r="T156" s="8" t="str">
        <f>IF($C156="","",IF(OR($L156="Selesai",$L156="Batal"),"Tidak aktif",IF($S156&gt;=Referensi!$P$12,"KRITIS",IF($S156&gt;=Referensi!$P$13,"Tinggi",IF($S156&gt;=Referensi!$P$14,"Sedang","Rendah")))))</f>
        <v/>
      </c>
      <c r="U156" s="14"/>
      <c r="V156" s="15"/>
      <c r="W156" s="9" t="str">
        <f t="shared" si="3"/>
        <v/>
      </c>
    </row>
    <row r="157" spans="1:23" ht="31.5" customHeight="1">
      <c r="A157" s="8" t="str">
        <f t="shared" si="0"/>
        <v/>
      </c>
      <c r="B157" s="9" t="str">
        <f t="array" ref="B157">IF(OR($C157="",$I157="",$J157=""),"","JSI-"&amp;IFERROR(INDEX(Referensi!$B$5:$B$14,MATCH($I157,Referensi!$A$5:$A$14,0)),"???")&amp;"-"&amp;IFERROR(INDEX(Referensi!$E$5:$E$14,MATCH($J157,Referensi!$D$5:$D$14,0)),"???")&amp;"-"&amp;TEXT(COUNTIFS($I$5:$I157,$I157,$J$5:$J157,$J157),"000"))</f>
        <v/>
      </c>
      <c r="C157" s="10"/>
      <c r="D157" s="10"/>
      <c r="E157" s="10"/>
      <c r="F157" s="10"/>
      <c r="G157" s="10"/>
      <c r="H157" s="10"/>
      <c r="I157" s="10"/>
      <c r="J157" s="11"/>
      <c r="K157" s="10"/>
      <c r="L157" s="11"/>
      <c r="M157" s="12"/>
      <c r="N157" s="12"/>
      <c r="O157" s="12"/>
      <c r="P157" s="13" t="str">
        <f t="shared" ca="1" si="1"/>
        <v/>
      </c>
      <c r="Q157" s="13" t="str">
        <f t="shared" ca="1" si="2"/>
        <v/>
      </c>
      <c r="R157" s="8" t="str">
        <f>IF($C157="","",IF($O157="","Belum ada kontak",IF($P157&gt;Referensi!$P$8,"Segera follow up",IF($P157&gt;Referensi!$P$9,"Perlu dipantau","Terkini"))))</f>
        <v/>
      </c>
      <c r="S157" s="13" t="str">
        <f>IF($C157="","",IF(OR($L157="Selesai",$L157="Batal"),0,IF($Q157="",5,IF($Q157&lt;0,50,IF($Q157&lt;=Referensi!$P$5,40,IF($Q157&lt;=Referensi!$P$6,30,IF($Q157&lt;=Referensi!$P$7,20,10)))))+IF($O157="",25,IF($P157&gt;Referensi!$P$8,30,IF($P157&gt;Referensi!$P$9,20,5)))+IF($U157="",5,IF($U157&gt;=Referensi!$P$10,20,IF($U157&gt;=Referensi!$P$11,10,5)))+IF($L157="Tertunda",15,IF(OR($L157="Negosiasi",$L157="Penawaran"),12,IF($L157="Berjalan",8,IF($L157="Prospek",5,0))))))</f>
        <v/>
      </c>
      <c r="T157" s="8" t="str">
        <f>IF($C157="","",IF(OR($L157="Selesai",$L157="Batal"),"Tidak aktif",IF($S157&gt;=Referensi!$P$12,"KRITIS",IF($S157&gt;=Referensi!$P$13,"Tinggi",IF($S157&gt;=Referensi!$P$14,"Sedang","Rendah")))))</f>
        <v/>
      </c>
      <c r="U157" s="14"/>
      <c r="V157" s="15"/>
      <c r="W157" s="9" t="str">
        <f t="shared" si="3"/>
        <v/>
      </c>
    </row>
    <row r="158" spans="1:23" ht="31.5" customHeight="1">
      <c r="A158" s="8" t="str">
        <f t="shared" si="0"/>
        <v/>
      </c>
      <c r="B158" s="9" t="str">
        <f t="array" ref="B158">IF(OR($C158="",$I158="",$J158=""),"","JSI-"&amp;IFERROR(INDEX(Referensi!$B$5:$B$14,MATCH($I158,Referensi!$A$5:$A$14,0)),"???")&amp;"-"&amp;IFERROR(INDEX(Referensi!$E$5:$E$14,MATCH($J158,Referensi!$D$5:$D$14,0)),"???")&amp;"-"&amp;TEXT(COUNTIFS($I$5:$I158,$I158,$J$5:$J158,$J158),"000"))</f>
        <v/>
      </c>
      <c r="C158" s="10"/>
      <c r="D158" s="10"/>
      <c r="E158" s="10"/>
      <c r="F158" s="10"/>
      <c r="G158" s="10"/>
      <c r="H158" s="10"/>
      <c r="I158" s="10"/>
      <c r="J158" s="11"/>
      <c r="K158" s="10"/>
      <c r="L158" s="11"/>
      <c r="M158" s="12"/>
      <c r="N158" s="12"/>
      <c r="O158" s="12"/>
      <c r="P158" s="13" t="str">
        <f t="shared" ca="1" si="1"/>
        <v/>
      </c>
      <c r="Q158" s="13" t="str">
        <f t="shared" ca="1" si="2"/>
        <v/>
      </c>
      <c r="R158" s="8" t="str">
        <f>IF($C158="","",IF($O158="","Belum ada kontak",IF($P158&gt;Referensi!$P$8,"Segera follow up",IF($P158&gt;Referensi!$P$9,"Perlu dipantau","Terkini"))))</f>
        <v/>
      </c>
      <c r="S158" s="13" t="str">
        <f>IF($C158="","",IF(OR($L158="Selesai",$L158="Batal"),0,IF($Q158="",5,IF($Q158&lt;0,50,IF($Q158&lt;=Referensi!$P$5,40,IF($Q158&lt;=Referensi!$P$6,30,IF($Q158&lt;=Referensi!$P$7,20,10)))))+IF($O158="",25,IF($P158&gt;Referensi!$P$8,30,IF($P158&gt;Referensi!$P$9,20,5)))+IF($U158="",5,IF($U158&gt;=Referensi!$P$10,20,IF($U158&gt;=Referensi!$P$11,10,5)))+IF($L158="Tertunda",15,IF(OR($L158="Negosiasi",$L158="Penawaran"),12,IF($L158="Berjalan",8,IF($L158="Prospek",5,0))))))</f>
        <v/>
      </c>
      <c r="T158" s="8" t="str">
        <f>IF($C158="","",IF(OR($L158="Selesai",$L158="Batal"),"Tidak aktif",IF($S158&gt;=Referensi!$P$12,"KRITIS",IF($S158&gt;=Referensi!$P$13,"Tinggi",IF($S158&gt;=Referensi!$P$14,"Sedang","Rendah")))))</f>
        <v/>
      </c>
      <c r="U158" s="14"/>
      <c r="V158" s="15"/>
      <c r="W158" s="9" t="str">
        <f t="shared" si="3"/>
        <v/>
      </c>
    </row>
    <row r="159" spans="1:23" ht="31.5" customHeight="1">
      <c r="A159" s="8" t="str">
        <f t="shared" si="0"/>
        <v/>
      </c>
      <c r="B159" s="9" t="str">
        <f t="array" ref="B159">IF(OR($C159="",$I159="",$J159=""),"","JSI-"&amp;IFERROR(INDEX(Referensi!$B$5:$B$14,MATCH($I159,Referensi!$A$5:$A$14,0)),"???")&amp;"-"&amp;IFERROR(INDEX(Referensi!$E$5:$E$14,MATCH($J159,Referensi!$D$5:$D$14,0)),"???")&amp;"-"&amp;TEXT(COUNTIFS($I$5:$I159,$I159,$J$5:$J159,$J159),"000"))</f>
        <v/>
      </c>
      <c r="C159" s="10"/>
      <c r="D159" s="10"/>
      <c r="E159" s="10"/>
      <c r="F159" s="10"/>
      <c r="G159" s="10"/>
      <c r="H159" s="10"/>
      <c r="I159" s="10"/>
      <c r="J159" s="11"/>
      <c r="K159" s="10"/>
      <c r="L159" s="11"/>
      <c r="M159" s="12"/>
      <c r="N159" s="12"/>
      <c r="O159" s="12"/>
      <c r="P159" s="13" t="str">
        <f t="shared" ca="1" si="1"/>
        <v/>
      </c>
      <c r="Q159" s="13" t="str">
        <f t="shared" ca="1" si="2"/>
        <v/>
      </c>
      <c r="R159" s="8" t="str">
        <f>IF($C159="","",IF($O159="","Belum ada kontak",IF($P159&gt;Referensi!$P$8,"Segera follow up",IF($P159&gt;Referensi!$P$9,"Perlu dipantau","Terkini"))))</f>
        <v/>
      </c>
      <c r="S159" s="13" t="str">
        <f>IF($C159="","",IF(OR($L159="Selesai",$L159="Batal"),0,IF($Q159="",5,IF($Q159&lt;0,50,IF($Q159&lt;=Referensi!$P$5,40,IF($Q159&lt;=Referensi!$P$6,30,IF($Q159&lt;=Referensi!$P$7,20,10)))))+IF($O159="",25,IF($P159&gt;Referensi!$P$8,30,IF($P159&gt;Referensi!$P$9,20,5)))+IF($U159="",5,IF($U159&gt;=Referensi!$P$10,20,IF($U159&gt;=Referensi!$P$11,10,5)))+IF($L159="Tertunda",15,IF(OR($L159="Negosiasi",$L159="Penawaran"),12,IF($L159="Berjalan",8,IF($L159="Prospek",5,0))))))</f>
        <v/>
      </c>
      <c r="T159" s="8" t="str">
        <f>IF($C159="","",IF(OR($L159="Selesai",$L159="Batal"),"Tidak aktif",IF($S159&gt;=Referensi!$P$12,"KRITIS",IF($S159&gt;=Referensi!$P$13,"Tinggi",IF($S159&gt;=Referensi!$P$14,"Sedang","Rendah")))))</f>
        <v/>
      </c>
      <c r="U159" s="14"/>
      <c r="V159" s="15"/>
      <c r="W159" s="9" t="str">
        <f t="shared" si="3"/>
        <v/>
      </c>
    </row>
    <row r="160" spans="1:23" ht="31.5" customHeight="1">
      <c r="A160" s="8" t="str">
        <f t="shared" si="0"/>
        <v/>
      </c>
      <c r="B160" s="9" t="str">
        <f t="array" ref="B160">IF(OR($C160="",$I160="",$J160=""),"","JSI-"&amp;IFERROR(INDEX(Referensi!$B$5:$B$14,MATCH($I160,Referensi!$A$5:$A$14,0)),"???")&amp;"-"&amp;IFERROR(INDEX(Referensi!$E$5:$E$14,MATCH($J160,Referensi!$D$5:$D$14,0)),"???")&amp;"-"&amp;TEXT(COUNTIFS($I$5:$I160,$I160,$J$5:$J160,$J160),"000"))</f>
        <v/>
      </c>
      <c r="C160" s="10"/>
      <c r="D160" s="10"/>
      <c r="E160" s="10"/>
      <c r="F160" s="10"/>
      <c r="G160" s="10"/>
      <c r="H160" s="10"/>
      <c r="I160" s="10"/>
      <c r="J160" s="11"/>
      <c r="K160" s="10"/>
      <c r="L160" s="11"/>
      <c r="M160" s="12"/>
      <c r="N160" s="12"/>
      <c r="O160" s="12"/>
      <c r="P160" s="13" t="str">
        <f t="shared" ca="1" si="1"/>
        <v/>
      </c>
      <c r="Q160" s="13" t="str">
        <f t="shared" ca="1" si="2"/>
        <v/>
      </c>
      <c r="R160" s="8" t="str">
        <f>IF($C160="","",IF($O160="","Belum ada kontak",IF($P160&gt;Referensi!$P$8,"Segera follow up",IF($P160&gt;Referensi!$P$9,"Perlu dipantau","Terkini"))))</f>
        <v/>
      </c>
      <c r="S160" s="13" t="str">
        <f>IF($C160="","",IF(OR($L160="Selesai",$L160="Batal"),0,IF($Q160="",5,IF($Q160&lt;0,50,IF($Q160&lt;=Referensi!$P$5,40,IF($Q160&lt;=Referensi!$P$6,30,IF($Q160&lt;=Referensi!$P$7,20,10)))))+IF($O160="",25,IF($P160&gt;Referensi!$P$8,30,IF($P160&gt;Referensi!$P$9,20,5)))+IF($U160="",5,IF($U160&gt;=Referensi!$P$10,20,IF($U160&gt;=Referensi!$P$11,10,5)))+IF($L160="Tertunda",15,IF(OR($L160="Negosiasi",$L160="Penawaran"),12,IF($L160="Berjalan",8,IF($L160="Prospek",5,0))))))</f>
        <v/>
      </c>
      <c r="T160" s="8" t="str">
        <f>IF($C160="","",IF(OR($L160="Selesai",$L160="Batal"),"Tidak aktif",IF($S160&gt;=Referensi!$P$12,"KRITIS",IF($S160&gt;=Referensi!$P$13,"Tinggi",IF($S160&gt;=Referensi!$P$14,"Sedang","Rendah")))))</f>
        <v/>
      </c>
      <c r="U160" s="14"/>
      <c r="V160" s="15"/>
      <c r="W160" s="9" t="str">
        <f t="shared" si="3"/>
        <v/>
      </c>
    </row>
    <row r="161" spans="1:23" ht="31.5" customHeight="1">
      <c r="A161" s="8" t="str">
        <f t="shared" si="0"/>
        <v/>
      </c>
      <c r="B161" s="9" t="str">
        <f t="array" ref="B161">IF(OR($C161="",$I161="",$J161=""),"","JSI-"&amp;IFERROR(INDEX(Referensi!$B$5:$B$14,MATCH($I161,Referensi!$A$5:$A$14,0)),"???")&amp;"-"&amp;IFERROR(INDEX(Referensi!$E$5:$E$14,MATCH($J161,Referensi!$D$5:$D$14,0)),"???")&amp;"-"&amp;TEXT(COUNTIFS($I$5:$I161,$I161,$J$5:$J161,$J161),"000"))</f>
        <v/>
      </c>
      <c r="C161" s="10"/>
      <c r="D161" s="10"/>
      <c r="E161" s="10"/>
      <c r="F161" s="10"/>
      <c r="G161" s="10"/>
      <c r="H161" s="10"/>
      <c r="I161" s="10"/>
      <c r="J161" s="11"/>
      <c r="K161" s="10"/>
      <c r="L161" s="11"/>
      <c r="M161" s="12"/>
      <c r="N161" s="12"/>
      <c r="O161" s="12"/>
      <c r="P161" s="13" t="str">
        <f t="shared" ca="1" si="1"/>
        <v/>
      </c>
      <c r="Q161" s="13" t="str">
        <f t="shared" ca="1" si="2"/>
        <v/>
      </c>
      <c r="R161" s="8" t="str">
        <f>IF($C161="","",IF($O161="","Belum ada kontak",IF($P161&gt;Referensi!$P$8,"Segera follow up",IF($P161&gt;Referensi!$P$9,"Perlu dipantau","Terkini"))))</f>
        <v/>
      </c>
      <c r="S161" s="13" t="str">
        <f>IF($C161="","",IF(OR($L161="Selesai",$L161="Batal"),0,IF($Q161="",5,IF($Q161&lt;0,50,IF($Q161&lt;=Referensi!$P$5,40,IF($Q161&lt;=Referensi!$P$6,30,IF($Q161&lt;=Referensi!$P$7,20,10)))))+IF($O161="",25,IF($P161&gt;Referensi!$P$8,30,IF($P161&gt;Referensi!$P$9,20,5)))+IF($U161="",5,IF($U161&gt;=Referensi!$P$10,20,IF($U161&gt;=Referensi!$P$11,10,5)))+IF($L161="Tertunda",15,IF(OR($L161="Negosiasi",$L161="Penawaran"),12,IF($L161="Berjalan",8,IF($L161="Prospek",5,0))))))</f>
        <v/>
      </c>
      <c r="T161" s="8" t="str">
        <f>IF($C161="","",IF(OR($L161="Selesai",$L161="Batal"),"Tidak aktif",IF($S161&gt;=Referensi!$P$12,"KRITIS",IF($S161&gt;=Referensi!$P$13,"Tinggi",IF($S161&gt;=Referensi!$P$14,"Sedang","Rendah")))))</f>
        <v/>
      </c>
      <c r="U161" s="14"/>
      <c r="V161" s="15"/>
      <c r="W161" s="9" t="str">
        <f t="shared" si="3"/>
        <v/>
      </c>
    </row>
    <row r="162" spans="1:23" ht="31.5" customHeight="1">
      <c r="A162" s="8" t="str">
        <f t="shared" si="0"/>
        <v/>
      </c>
      <c r="B162" s="9" t="str">
        <f t="array" ref="B162">IF(OR($C162="",$I162="",$J162=""),"","JSI-"&amp;IFERROR(INDEX(Referensi!$B$5:$B$14,MATCH($I162,Referensi!$A$5:$A$14,0)),"???")&amp;"-"&amp;IFERROR(INDEX(Referensi!$E$5:$E$14,MATCH($J162,Referensi!$D$5:$D$14,0)),"???")&amp;"-"&amp;TEXT(COUNTIFS($I$5:$I162,$I162,$J$5:$J162,$J162),"000"))</f>
        <v/>
      </c>
      <c r="C162" s="10"/>
      <c r="D162" s="10"/>
      <c r="E162" s="10"/>
      <c r="F162" s="10"/>
      <c r="G162" s="10"/>
      <c r="H162" s="10"/>
      <c r="I162" s="10"/>
      <c r="J162" s="11"/>
      <c r="K162" s="10"/>
      <c r="L162" s="11"/>
      <c r="M162" s="12"/>
      <c r="N162" s="12"/>
      <c r="O162" s="12"/>
      <c r="P162" s="13" t="str">
        <f t="shared" ca="1" si="1"/>
        <v/>
      </c>
      <c r="Q162" s="13" t="str">
        <f t="shared" ca="1" si="2"/>
        <v/>
      </c>
      <c r="R162" s="8" t="str">
        <f>IF($C162="","",IF($O162="","Belum ada kontak",IF($P162&gt;Referensi!$P$8,"Segera follow up",IF($P162&gt;Referensi!$P$9,"Perlu dipantau","Terkini"))))</f>
        <v/>
      </c>
      <c r="S162" s="13" t="str">
        <f>IF($C162="","",IF(OR($L162="Selesai",$L162="Batal"),0,IF($Q162="",5,IF($Q162&lt;0,50,IF($Q162&lt;=Referensi!$P$5,40,IF($Q162&lt;=Referensi!$P$6,30,IF($Q162&lt;=Referensi!$P$7,20,10)))))+IF($O162="",25,IF($P162&gt;Referensi!$P$8,30,IF($P162&gt;Referensi!$P$9,20,5)))+IF($U162="",5,IF($U162&gt;=Referensi!$P$10,20,IF($U162&gt;=Referensi!$P$11,10,5)))+IF($L162="Tertunda",15,IF(OR($L162="Negosiasi",$L162="Penawaran"),12,IF($L162="Berjalan",8,IF($L162="Prospek",5,0))))))</f>
        <v/>
      </c>
      <c r="T162" s="8" t="str">
        <f>IF($C162="","",IF(OR($L162="Selesai",$L162="Batal"),"Tidak aktif",IF($S162&gt;=Referensi!$P$12,"KRITIS",IF($S162&gt;=Referensi!$P$13,"Tinggi",IF($S162&gt;=Referensi!$P$14,"Sedang","Rendah")))))</f>
        <v/>
      </c>
      <c r="U162" s="14"/>
      <c r="V162" s="15"/>
      <c r="W162" s="9" t="str">
        <f t="shared" si="3"/>
        <v/>
      </c>
    </row>
    <row r="163" spans="1:23" ht="31.5" customHeight="1">
      <c r="A163" s="8" t="str">
        <f t="shared" si="0"/>
        <v/>
      </c>
      <c r="B163" s="9" t="str">
        <f t="array" ref="B163">IF(OR($C163="",$I163="",$J163=""),"","JSI-"&amp;IFERROR(INDEX(Referensi!$B$5:$B$14,MATCH($I163,Referensi!$A$5:$A$14,0)),"???")&amp;"-"&amp;IFERROR(INDEX(Referensi!$E$5:$E$14,MATCH($J163,Referensi!$D$5:$D$14,0)),"???")&amp;"-"&amp;TEXT(COUNTIFS($I$5:$I163,$I163,$J$5:$J163,$J163),"000"))</f>
        <v/>
      </c>
      <c r="C163" s="10"/>
      <c r="D163" s="10"/>
      <c r="E163" s="10"/>
      <c r="F163" s="10"/>
      <c r="G163" s="10"/>
      <c r="H163" s="10"/>
      <c r="I163" s="10"/>
      <c r="J163" s="11"/>
      <c r="K163" s="10"/>
      <c r="L163" s="11"/>
      <c r="M163" s="12"/>
      <c r="N163" s="12"/>
      <c r="O163" s="12"/>
      <c r="P163" s="13" t="str">
        <f t="shared" ca="1" si="1"/>
        <v/>
      </c>
      <c r="Q163" s="13" t="str">
        <f t="shared" ca="1" si="2"/>
        <v/>
      </c>
      <c r="R163" s="8" t="str">
        <f>IF($C163="","",IF($O163="","Belum ada kontak",IF($P163&gt;Referensi!$P$8,"Segera follow up",IF($P163&gt;Referensi!$P$9,"Perlu dipantau","Terkini"))))</f>
        <v/>
      </c>
      <c r="S163" s="13" t="str">
        <f>IF($C163="","",IF(OR($L163="Selesai",$L163="Batal"),0,IF($Q163="",5,IF($Q163&lt;0,50,IF($Q163&lt;=Referensi!$P$5,40,IF($Q163&lt;=Referensi!$P$6,30,IF($Q163&lt;=Referensi!$P$7,20,10)))))+IF($O163="",25,IF($P163&gt;Referensi!$P$8,30,IF($P163&gt;Referensi!$P$9,20,5)))+IF($U163="",5,IF($U163&gt;=Referensi!$P$10,20,IF($U163&gt;=Referensi!$P$11,10,5)))+IF($L163="Tertunda",15,IF(OR($L163="Negosiasi",$L163="Penawaran"),12,IF($L163="Berjalan",8,IF($L163="Prospek",5,0))))))</f>
        <v/>
      </c>
      <c r="T163" s="8" t="str">
        <f>IF($C163="","",IF(OR($L163="Selesai",$L163="Batal"),"Tidak aktif",IF($S163&gt;=Referensi!$P$12,"KRITIS",IF($S163&gt;=Referensi!$P$13,"Tinggi",IF($S163&gt;=Referensi!$P$14,"Sedang","Rendah")))))</f>
        <v/>
      </c>
      <c r="U163" s="14"/>
      <c r="V163" s="15"/>
      <c r="W163" s="9" t="str">
        <f t="shared" si="3"/>
        <v/>
      </c>
    </row>
    <row r="164" spans="1:23" ht="31.5" customHeight="1">
      <c r="A164" s="8" t="str">
        <f t="shared" si="0"/>
        <v/>
      </c>
      <c r="B164" s="9" t="str">
        <f t="array" ref="B164">IF(OR($C164="",$I164="",$J164=""),"","JSI-"&amp;IFERROR(INDEX(Referensi!$B$5:$B$14,MATCH($I164,Referensi!$A$5:$A$14,0)),"???")&amp;"-"&amp;IFERROR(INDEX(Referensi!$E$5:$E$14,MATCH($J164,Referensi!$D$5:$D$14,0)),"???")&amp;"-"&amp;TEXT(COUNTIFS($I$5:$I164,$I164,$J$5:$J164,$J164),"000"))</f>
        <v/>
      </c>
      <c r="C164" s="10"/>
      <c r="D164" s="10"/>
      <c r="E164" s="10"/>
      <c r="F164" s="10"/>
      <c r="G164" s="10"/>
      <c r="H164" s="10"/>
      <c r="I164" s="10"/>
      <c r="J164" s="11"/>
      <c r="K164" s="10"/>
      <c r="L164" s="11"/>
      <c r="M164" s="12"/>
      <c r="N164" s="12"/>
      <c r="O164" s="12"/>
      <c r="P164" s="13" t="str">
        <f t="shared" ca="1" si="1"/>
        <v/>
      </c>
      <c r="Q164" s="13" t="str">
        <f t="shared" ca="1" si="2"/>
        <v/>
      </c>
      <c r="R164" s="8" t="str">
        <f>IF($C164="","",IF($O164="","Belum ada kontak",IF($P164&gt;Referensi!$P$8,"Segera follow up",IF($P164&gt;Referensi!$P$9,"Perlu dipantau","Terkini"))))</f>
        <v/>
      </c>
      <c r="S164" s="13" t="str">
        <f>IF($C164="","",IF(OR($L164="Selesai",$L164="Batal"),0,IF($Q164="",5,IF($Q164&lt;0,50,IF($Q164&lt;=Referensi!$P$5,40,IF($Q164&lt;=Referensi!$P$6,30,IF($Q164&lt;=Referensi!$P$7,20,10)))))+IF($O164="",25,IF($P164&gt;Referensi!$P$8,30,IF($P164&gt;Referensi!$P$9,20,5)))+IF($U164="",5,IF($U164&gt;=Referensi!$P$10,20,IF($U164&gt;=Referensi!$P$11,10,5)))+IF($L164="Tertunda",15,IF(OR($L164="Negosiasi",$L164="Penawaran"),12,IF($L164="Berjalan",8,IF($L164="Prospek",5,0))))))</f>
        <v/>
      </c>
      <c r="T164" s="8" t="str">
        <f>IF($C164="","",IF(OR($L164="Selesai",$L164="Batal"),"Tidak aktif",IF($S164&gt;=Referensi!$P$12,"KRITIS",IF($S164&gt;=Referensi!$P$13,"Tinggi",IF($S164&gt;=Referensi!$P$14,"Sedang","Rendah")))))</f>
        <v/>
      </c>
      <c r="U164" s="14"/>
      <c r="V164" s="15"/>
      <c r="W164" s="9" t="str">
        <f t="shared" si="3"/>
        <v/>
      </c>
    </row>
    <row r="165" spans="1:23" ht="31.5" customHeight="1">
      <c r="A165" s="8" t="str">
        <f t="shared" si="0"/>
        <v/>
      </c>
      <c r="B165" s="9" t="str">
        <f t="array" ref="B165">IF(OR($C165="",$I165="",$J165=""),"","JSI-"&amp;IFERROR(INDEX(Referensi!$B$5:$B$14,MATCH($I165,Referensi!$A$5:$A$14,0)),"???")&amp;"-"&amp;IFERROR(INDEX(Referensi!$E$5:$E$14,MATCH($J165,Referensi!$D$5:$D$14,0)),"???")&amp;"-"&amp;TEXT(COUNTIFS($I$5:$I165,$I165,$J$5:$J165,$J165),"000"))</f>
        <v/>
      </c>
      <c r="C165" s="10"/>
      <c r="D165" s="10"/>
      <c r="E165" s="10"/>
      <c r="F165" s="10"/>
      <c r="G165" s="10"/>
      <c r="H165" s="10"/>
      <c r="I165" s="10"/>
      <c r="J165" s="11"/>
      <c r="K165" s="10"/>
      <c r="L165" s="11"/>
      <c r="M165" s="12"/>
      <c r="N165" s="12"/>
      <c r="O165" s="12"/>
      <c r="P165" s="13" t="str">
        <f t="shared" ca="1" si="1"/>
        <v/>
      </c>
      <c r="Q165" s="13" t="str">
        <f t="shared" ca="1" si="2"/>
        <v/>
      </c>
      <c r="R165" s="8" t="str">
        <f>IF($C165="","",IF($O165="","Belum ada kontak",IF($P165&gt;Referensi!$P$8,"Segera follow up",IF($P165&gt;Referensi!$P$9,"Perlu dipantau","Terkini"))))</f>
        <v/>
      </c>
      <c r="S165" s="13" t="str">
        <f>IF($C165="","",IF(OR($L165="Selesai",$L165="Batal"),0,IF($Q165="",5,IF($Q165&lt;0,50,IF($Q165&lt;=Referensi!$P$5,40,IF($Q165&lt;=Referensi!$P$6,30,IF($Q165&lt;=Referensi!$P$7,20,10)))))+IF($O165="",25,IF($P165&gt;Referensi!$P$8,30,IF($P165&gt;Referensi!$P$9,20,5)))+IF($U165="",5,IF($U165&gt;=Referensi!$P$10,20,IF($U165&gt;=Referensi!$P$11,10,5)))+IF($L165="Tertunda",15,IF(OR($L165="Negosiasi",$L165="Penawaran"),12,IF($L165="Berjalan",8,IF($L165="Prospek",5,0))))))</f>
        <v/>
      </c>
      <c r="T165" s="8" t="str">
        <f>IF($C165="","",IF(OR($L165="Selesai",$L165="Batal"),"Tidak aktif",IF($S165&gt;=Referensi!$P$12,"KRITIS",IF($S165&gt;=Referensi!$P$13,"Tinggi",IF($S165&gt;=Referensi!$P$14,"Sedang","Rendah")))))</f>
        <v/>
      </c>
      <c r="U165" s="14"/>
      <c r="V165" s="15"/>
      <c r="W165" s="9" t="str">
        <f t="shared" si="3"/>
        <v/>
      </c>
    </row>
    <row r="166" spans="1:23" ht="31.5" customHeight="1">
      <c r="A166" s="8" t="str">
        <f t="shared" si="0"/>
        <v/>
      </c>
      <c r="B166" s="9" t="str">
        <f t="array" ref="B166">IF(OR($C166="",$I166="",$J166=""),"","JSI-"&amp;IFERROR(INDEX(Referensi!$B$5:$B$14,MATCH($I166,Referensi!$A$5:$A$14,0)),"???")&amp;"-"&amp;IFERROR(INDEX(Referensi!$E$5:$E$14,MATCH($J166,Referensi!$D$5:$D$14,0)),"???")&amp;"-"&amp;TEXT(COUNTIFS($I$5:$I166,$I166,$J$5:$J166,$J166),"000"))</f>
        <v/>
      </c>
      <c r="C166" s="10"/>
      <c r="D166" s="10"/>
      <c r="E166" s="10"/>
      <c r="F166" s="10"/>
      <c r="G166" s="10"/>
      <c r="H166" s="10"/>
      <c r="I166" s="10"/>
      <c r="J166" s="11"/>
      <c r="K166" s="10"/>
      <c r="L166" s="11"/>
      <c r="M166" s="12"/>
      <c r="N166" s="12"/>
      <c r="O166" s="12"/>
      <c r="P166" s="13" t="str">
        <f t="shared" ca="1" si="1"/>
        <v/>
      </c>
      <c r="Q166" s="13" t="str">
        <f t="shared" ca="1" si="2"/>
        <v/>
      </c>
      <c r="R166" s="8" t="str">
        <f>IF($C166="","",IF($O166="","Belum ada kontak",IF($P166&gt;Referensi!$P$8,"Segera follow up",IF($P166&gt;Referensi!$P$9,"Perlu dipantau","Terkini"))))</f>
        <v/>
      </c>
      <c r="S166" s="13" t="str">
        <f>IF($C166="","",IF(OR($L166="Selesai",$L166="Batal"),0,IF($Q166="",5,IF($Q166&lt;0,50,IF($Q166&lt;=Referensi!$P$5,40,IF($Q166&lt;=Referensi!$P$6,30,IF($Q166&lt;=Referensi!$P$7,20,10)))))+IF($O166="",25,IF($P166&gt;Referensi!$P$8,30,IF($P166&gt;Referensi!$P$9,20,5)))+IF($U166="",5,IF($U166&gt;=Referensi!$P$10,20,IF($U166&gt;=Referensi!$P$11,10,5)))+IF($L166="Tertunda",15,IF(OR($L166="Negosiasi",$L166="Penawaran"),12,IF($L166="Berjalan",8,IF($L166="Prospek",5,0))))))</f>
        <v/>
      </c>
      <c r="T166" s="8" t="str">
        <f>IF($C166="","",IF(OR($L166="Selesai",$L166="Batal"),"Tidak aktif",IF($S166&gt;=Referensi!$P$12,"KRITIS",IF($S166&gt;=Referensi!$P$13,"Tinggi",IF($S166&gt;=Referensi!$P$14,"Sedang","Rendah")))))</f>
        <v/>
      </c>
      <c r="U166" s="14"/>
      <c r="V166" s="15"/>
      <c r="W166" s="9" t="str">
        <f t="shared" si="3"/>
        <v/>
      </c>
    </row>
    <row r="167" spans="1:23" ht="31.5" customHeight="1">
      <c r="A167" s="8" t="str">
        <f t="shared" si="0"/>
        <v/>
      </c>
      <c r="B167" s="9" t="str">
        <f t="array" ref="B167">IF(OR($C167="",$I167="",$J167=""),"","JSI-"&amp;IFERROR(INDEX(Referensi!$B$5:$B$14,MATCH($I167,Referensi!$A$5:$A$14,0)),"???")&amp;"-"&amp;IFERROR(INDEX(Referensi!$E$5:$E$14,MATCH($J167,Referensi!$D$5:$D$14,0)),"???")&amp;"-"&amp;TEXT(COUNTIFS($I$5:$I167,$I167,$J$5:$J167,$J167),"000"))</f>
        <v/>
      </c>
      <c r="C167" s="10"/>
      <c r="D167" s="10"/>
      <c r="E167" s="10"/>
      <c r="F167" s="10"/>
      <c r="G167" s="10"/>
      <c r="H167" s="10"/>
      <c r="I167" s="10"/>
      <c r="J167" s="11"/>
      <c r="K167" s="10"/>
      <c r="L167" s="11"/>
      <c r="M167" s="12"/>
      <c r="N167" s="12"/>
      <c r="O167" s="12"/>
      <c r="P167" s="13" t="str">
        <f t="shared" ca="1" si="1"/>
        <v/>
      </c>
      <c r="Q167" s="13" t="str">
        <f t="shared" ca="1" si="2"/>
        <v/>
      </c>
      <c r="R167" s="8" t="str">
        <f>IF($C167="","",IF($O167="","Belum ada kontak",IF($P167&gt;Referensi!$P$8,"Segera follow up",IF($P167&gt;Referensi!$P$9,"Perlu dipantau","Terkini"))))</f>
        <v/>
      </c>
      <c r="S167" s="13" t="str">
        <f>IF($C167="","",IF(OR($L167="Selesai",$L167="Batal"),0,IF($Q167="",5,IF($Q167&lt;0,50,IF($Q167&lt;=Referensi!$P$5,40,IF($Q167&lt;=Referensi!$P$6,30,IF($Q167&lt;=Referensi!$P$7,20,10)))))+IF($O167="",25,IF($P167&gt;Referensi!$P$8,30,IF($P167&gt;Referensi!$P$9,20,5)))+IF($U167="",5,IF($U167&gt;=Referensi!$P$10,20,IF($U167&gt;=Referensi!$P$11,10,5)))+IF($L167="Tertunda",15,IF(OR($L167="Negosiasi",$L167="Penawaran"),12,IF($L167="Berjalan",8,IF($L167="Prospek",5,0))))))</f>
        <v/>
      </c>
      <c r="T167" s="8" t="str">
        <f>IF($C167="","",IF(OR($L167="Selesai",$L167="Batal"),"Tidak aktif",IF($S167&gt;=Referensi!$P$12,"KRITIS",IF($S167&gt;=Referensi!$P$13,"Tinggi",IF($S167&gt;=Referensi!$P$14,"Sedang","Rendah")))))</f>
        <v/>
      </c>
      <c r="U167" s="14"/>
      <c r="V167" s="15"/>
      <c r="W167" s="9" t="str">
        <f t="shared" si="3"/>
        <v/>
      </c>
    </row>
    <row r="168" spans="1:23" ht="31.5" customHeight="1">
      <c r="A168" s="8" t="str">
        <f t="shared" si="0"/>
        <v/>
      </c>
      <c r="B168" s="9" t="str">
        <f t="array" ref="B168">IF(OR($C168="",$I168="",$J168=""),"","JSI-"&amp;IFERROR(INDEX(Referensi!$B$5:$B$14,MATCH($I168,Referensi!$A$5:$A$14,0)),"???")&amp;"-"&amp;IFERROR(INDEX(Referensi!$E$5:$E$14,MATCH($J168,Referensi!$D$5:$D$14,0)),"???")&amp;"-"&amp;TEXT(COUNTIFS($I$5:$I168,$I168,$J$5:$J168,$J168),"000"))</f>
        <v/>
      </c>
      <c r="C168" s="10"/>
      <c r="D168" s="10"/>
      <c r="E168" s="10"/>
      <c r="F168" s="10"/>
      <c r="G168" s="10"/>
      <c r="H168" s="10"/>
      <c r="I168" s="10"/>
      <c r="J168" s="11"/>
      <c r="K168" s="10"/>
      <c r="L168" s="11"/>
      <c r="M168" s="12"/>
      <c r="N168" s="12"/>
      <c r="O168" s="12"/>
      <c r="P168" s="13" t="str">
        <f t="shared" ca="1" si="1"/>
        <v/>
      </c>
      <c r="Q168" s="13" t="str">
        <f t="shared" ca="1" si="2"/>
        <v/>
      </c>
      <c r="R168" s="8" t="str">
        <f>IF($C168="","",IF($O168="","Belum ada kontak",IF($P168&gt;Referensi!$P$8,"Segera follow up",IF($P168&gt;Referensi!$P$9,"Perlu dipantau","Terkini"))))</f>
        <v/>
      </c>
      <c r="S168" s="13" t="str">
        <f>IF($C168="","",IF(OR($L168="Selesai",$L168="Batal"),0,IF($Q168="",5,IF($Q168&lt;0,50,IF($Q168&lt;=Referensi!$P$5,40,IF($Q168&lt;=Referensi!$P$6,30,IF($Q168&lt;=Referensi!$P$7,20,10)))))+IF($O168="",25,IF($P168&gt;Referensi!$P$8,30,IF($P168&gt;Referensi!$P$9,20,5)))+IF($U168="",5,IF($U168&gt;=Referensi!$P$10,20,IF($U168&gt;=Referensi!$P$11,10,5)))+IF($L168="Tertunda",15,IF(OR($L168="Negosiasi",$L168="Penawaran"),12,IF($L168="Berjalan",8,IF($L168="Prospek",5,0))))))</f>
        <v/>
      </c>
      <c r="T168" s="8" t="str">
        <f>IF($C168="","",IF(OR($L168="Selesai",$L168="Batal"),"Tidak aktif",IF($S168&gt;=Referensi!$P$12,"KRITIS",IF($S168&gt;=Referensi!$P$13,"Tinggi",IF($S168&gt;=Referensi!$P$14,"Sedang","Rendah")))))</f>
        <v/>
      </c>
      <c r="U168" s="14"/>
      <c r="V168" s="15"/>
      <c r="W168" s="9" t="str">
        <f t="shared" si="3"/>
        <v/>
      </c>
    </row>
    <row r="169" spans="1:23" ht="31.5" customHeight="1">
      <c r="A169" s="8" t="str">
        <f t="shared" si="0"/>
        <v/>
      </c>
      <c r="B169" s="9" t="str">
        <f t="array" ref="B169">IF(OR($C169="",$I169="",$J169=""),"","JSI-"&amp;IFERROR(INDEX(Referensi!$B$5:$B$14,MATCH($I169,Referensi!$A$5:$A$14,0)),"???")&amp;"-"&amp;IFERROR(INDEX(Referensi!$E$5:$E$14,MATCH($J169,Referensi!$D$5:$D$14,0)),"???")&amp;"-"&amp;TEXT(COUNTIFS($I$5:$I169,$I169,$J$5:$J169,$J169),"000"))</f>
        <v/>
      </c>
      <c r="C169" s="10"/>
      <c r="D169" s="10"/>
      <c r="E169" s="10"/>
      <c r="F169" s="10"/>
      <c r="G169" s="10"/>
      <c r="H169" s="10"/>
      <c r="I169" s="10"/>
      <c r="J169" s="11"/>
      <c r="K169" s="10"/>
      <c r="L169" s="11"/>
      <c r="M169" s="12"/>
      <c r="N169" s="12"/>
      <c r="O169" s="12"/>
      <c r="P169" s="13" t="str">
        <f t="shared" ca="1" si="1"/>
        <v/>
      </c>
      <c r="Q169" s="13" t="str">
        <f t="shared" ca="1" si="2"/>
        <v/>
      </c>
      <c r="R169" s="8" t="str">
        <f>IF($C169="","",IF($O169="","Belum ada kontak",IF($P169&gt;Referensi!$P$8,"Segera follow up",IF($P169&gt;Referensi!$P$9,"Perlu dipantau","Terkini"))))</f>
        <v/>
      </c>
      <c r="S169" s="13" t="str">
        <f>IF($C169="","",IF(OR($L169="Selesai",$L169="Batal"),0,IF($Q169="",5,IF($Q169&lt;0,50,IF($Q169&lt;=Referensi!$P$5,40,IF($Q169&lt;=Referensi!$P$6,30,IF($Q169&lt;=Referensi!$P$7,20,10)))))+IF($O169="",25,IF($P169&gt;Referensi!$P$8,30,IF($P169&gt;Referensi!$P$9,20,5)))+IF($U169="",5,IF($U169&gt;=Referensi!$P$10,20,IF($U169&gt;=Referensi!$P$11,10,5)))+IF($L169="Tertunda",15,IF(OR($L169="Negosiasi",$L169="Penawaran"),12,IF($L169="Berjalan",8,IF($L169="Prospek",5,0))))))</f>
        <v/>
      </c>
      <c r="T169" s="8" t="str">
        <f>IF($C169="","",IF(OR($L169="Selesai",$L169="Batal"),"Tidak aktif",IF($S169&gt;=Referensi!$P$12,"KRITIS",IF($S169&gt;=Referensi!$P$13,"Tinggi",IF($S169&gt;=Referensi!$P$14,"Sedang","Rendah")))))</f>
        <v/>
      </c>
      <c r="U169" s="14"/>
      <c r="V169" s="15"/>
      <c r="W169" s="9" t="str">
        <f t="shared" si="3"/>
        <v/>
      </c>
    </row>
    <row r="170" spans="1:23" ht="31.5" customHeight="1">
      <c r="A170" s="8" t="str">
        <f t="shared" si="0"/>
        <v/>
      </c>
      <c r="B170" s="9" t="str">
        <f t="array" ref="B170">IF(OR($C170="",$I170="",$J170=""),"","JSI-"&amp;IFERROR(INDEX(Referensi!$B$5:$B$14,MATCH($I170,Referensi!$A$5:$A$14,0)),"???")&amp;"-"&amp;IFERROR(INDEX(Referensi!$E$5:$E$14,MATCH($J170,Referensi!$D$5:$D$14,0)),"???")&amp;"-"&amp;TEXT(COUNTIFS($I$5:$I170,$I170,$J$5:$J170,$J170),"000"))</f>
        <v/>
      </c>
      <c r="C170" s="10"/>
      <c r="D170" s="10"/>
      <c r="E170" s="10"/>
      <c r="F170" s="10"/>
      <c r="G170" s="10"/>
      <c r="H170" s="10"/>
      <c r="I170" s="10"/>
      <c r="J170" s="11"/>
      <c r="K170" s="10"/>
      <c r="L170" s="11"/>
      <c r="M170" s="12"/>
      <c r="N170" s="12"/>
      <c r="O170" s="12"/>
      <c r="P170" s="13" t="str">
        <f t="shared" ca="1" si="1"/>
        <v/>
      </c>
      <c r="Q170" s="13" t="str">
        <f t="shared" ca="1" si="2"/>
        <v/>
      </c>
      <c r="R170" s="8" t="str">
        <f>IF($C170="","",IF($O170="","Belum ada kontak",IF($P170&gt;Referensi!$P$8,"Segera follow up",IF($P170&gt;Referensi!$P$9,"Perlu dipantau","Terkini"))))</f>
        <v/>
      </c>
      <c r="S170" s="13" t="str">
        <f>IF($C170="","",IF(OR($L170="Selesai",$L170="Batal"),0,IF($Q170="",5,IF($Q170&lt;0,50,IF($Q170&lt;=Referensi!$P$5,40,IF($Q170&lt;=Referensi!$P$6,30,IF($Q170&lt;=Referensi!$P$7,20,10)))))+IF($O170="",25,IF($P170&gt;Referensi!$P$8,30,IF($P170&gt;Referensi!$P$9,20,5)))+IF($U170="",5,IF($U170&gt;=Referensi!$P$10,20,IF($U170&gt;=Referensi!$P$11,10,5)))+IF($L170="Tertunda",15,IF(OR($L170="Negosiasi",$L170="Penawaran"),12,IF($L170="Berjalan",8,IF($L170="Prospek",5,0))))))</f>
        <v/>
      </c>
      <c r="T170" s="8" t="str">
        <f>IF($C170="","",IF(OR($L170="Selesai",$L170="Batal"),"Tidak aktif",IF($S170&gt;=Referensi!$P$12,"KRITIS",IF($S170&gt;=Referensi!$P$13,"Tinggi",IF($S170&gt;=Referensi!$P$14,"Sedang","Rendah")))))</f>
        <v/>
      </c>
      <c r="U170" s="14"/>
      <c r="V170" s="15"/>
      <c r="W170" s="9" t="str">
        <f t="shared" si="3"/>
        <v/>
      </c>
    </row>
    <row r="171" spans="1:23" ht="31.5" customHeight="1">
      <c r="A171" s="8" t="str">
        <f t="shared" si="0"/>
        <v/>
      </c>
      <c r="B171" s="9" t="str">
        <f t="array" ref="B171">IF(OR($C171="",$I171="",$J171=""),"","JSI-"&amp;IFERROR(INDEX(Referensi!$B$5:$B$14,MATCH($I171,Referensi!$A$5:$A$14,0)),"???")&amp;"-"&amp;IFERROR(INDEX(Referensi!$E$5:$E$14,MATCH($J171,Referensi!$D$5:$D$14,0)),"???")&amp;"-"&amp;TEXT(COUNTIFS($I$5:$I171,$I171,$J$5:$J171,$J171),"000"))</f>
        <v/>
      </c>
      <c r="C171" s="10"/>
      <c r="D171" s="10"/>
      <c r="E171" s="10"/>
      <c r="F171" s="10"/>
      <c r="G171" s="10"/>
      <c r="H171" s="10"/>
      <c r="I171" s="10"/>
      <c r="J171" s="11"/>
      <c r="K171" s="10"/>
      <c r="L171" s="11"/>
      <c r="M171" s="12"/>
      <c r="N171" s="12"/>
      <c r="O171" s="12"/>
      <c r="P171" s="13" t="str">
        <f t="shared" ca="1" si="1"/>
        <v/>
      </c>
      <c r="Q171" s="13" t="str">
        <f t="shared" ca="1" si="2"/>
        <v/>
      </c>
      <c r="R171" s="8" t="str">
        <f>IF($C171="","",IF($O171="","Belum ada kontak",IF($P171&gt;Referensi!$P$8,"Segera follow up",IF($P171&gt;Referensi!$P$9,"Perlu dipantau","Terkini"))))</f>
        <v/>
      </c>
      <c r="S171" s="13" t="str">
        <f>IF($C171="","",IF(OR($L171="Selesai",$L171="Batal"),0,IF($Q171="",5,IF($Q171&lt;0,50,IF($Q171&lt;=Referensi!$P$5,40,IF($Q171&lt;=Referensi!$P$6,30,IF($Q171&lt;=Referensi!$P$7,20,10)))))+IF($O171="",25,IF($P171&gt;Referensi!$P$8,30,IF($P171&gt;Referensi!$P$9,20,5)))+IF($U171="",5,IF($U171&gt;=Referensi!$P$10,20,IF($U171&gt;=Referensi!$P$11,10,5)))+IF($L171="Tertunda",15,IF(OR($L171="Negosiasi",$L171="Penawaran"),12,IF($L171="Berjalan",8,IF($L171="Prospek",5,0))))))</f>
        <v/>
      </c>
      <c r="T171" s="8" t="str">
        <f>IF($C171="","",IF(OR($L171="Selesai",$L171="Batal"),"Tidak aktif",IF($S171&gt;=Referensi!$P$12,"KRITIS",IF($S171&gt;=Referensi!$P$13,"Tinggi",IF($S171&gt;=Referensi!$P$14,"Sedang","Rendah")))))</f>
        <v/>
      </c>
      <c r="U171" s="14"/>
      <c r="V171" s="15"/>
      <c r="W171" s="9" t="str">
        <f t="shared" si="3"/>
        <v/>
      </c>
    </row>
    <row r="172" spans="1:23" ht="31.5" customHeight="1">
      <c r="A172" s="8" t="str">
        <f t="shared" si="0"/>
        <v/>
      </c>
      <c r="B172" s="9" t="str">
        <f t="array" ref="B172">IF(OR($C172="",$I172="",$J172=""),"","JSI-"&amp;IFERROR(INDEX(Referensi!$B$5:$B$14,MATCH($I172,Referensi!$A$5:$A$14,0)),"???")&amp;"-"&amp;IFERROR(INDEX(Referensi!$E$5:$E$14,MATCH($J172,Referensi!$D$5:$D$14,0)),"???")&amp;"-"&amp;TEXT(COUNTIFS($I$5:$I172,$I172,$J$5:$J172,$J172),"000"))</f>
        <v/>
      </c>
      <c r="C172" s="10"/>
      <c r="D172" s="10"/>
      <c r="E172" s="10"/>
      <c r="F172" s="10"/>
      <c r="G172" s="10"/>
      <c r="H172" s="10"/>
      <c r="I172" s="10"/>
      <c r="J172" s="11"/>
      <c r="K172" s="10"/>
      <c r="L172" s="11"/>
      <c r="M172" s="12"/>
      <c r="N172" s="12"/>
      <c r="O172" s="12"/>
      <c r="P172" s="13" t="str">
        <f t="shared" ca="1" si="1"/>
        <v/>
      </c>
      <c r="Q172" s="13" t="str">
        <f t="shared" ca="1" si="2"/>
        <v/>
      </c>
      <c r="R172" s="8" t="str">
        <f>IF($C172="","",IF($O172="","Belum ada kontak",IF($P172&gt;Referensi!$P$8,"Segera follow up",IF($P172&gt;Referensi!$P$9,"Perlu dipantau","Terkini"))))</f>
        <v/>
      </c>
      <c r="S172" s="13" t="str">
        <f>IF($C172="","",IF(OR($L172="Selesai",$L172="Batal"),0,IF($Q172="",5,IF($Q172&lt;0,50,IF($Q172&lt;=Referensi!$P$5,40,IF($Q172&lt;=Referensi!$P$6,30,IF($Q172&lt;=Referensi!$P$7,20,10)))))+IF($O172="",25,IF($P172&gt;Referensi!$P$8,30,IF($P172&gt;Referensi!$P$9,20,5)))+IF($U172="",5,IF($U172&gt;=Referensi!$P$10,20,IF($U172&gt;=Referensi!$P$11,10,5)))+IF($L172="Tertunda",15,IF(OR($L172="Negosiasi",$L172="Penawaran"),12,IF($L172="Berjalan",8,IF($L172="Prospek",5,0))))))</f>
        <v/>
      </c>
      <c r="T172" s="8" t="str">
        <f>IF($C172="","",IF(OR($L172="Selesai",$L172="Batal"),"Tidak aktif",IF($S172&gt;=Referensi!$P$12,"KRITIS",IF($S172&gt;=Referensi!$P$13,"Tinggi",IF($S172&gt;=Referensi!$P$14,"Sedang","Rendah")))))</f>
        <v/>
      </c>
      <c r="U172" s="14"/>
      <c r="V172" s="15"/>
      <c r="W172" s="9" t="str">
        <f t="shared" si="3"/>
        <v/>
      </c>
    </row>
    <row r="173" spans="1:23" ht="31.5" customHeight="1">
      <c r="A173" s="8" t="str">
        <f t="shared" si="0"/>
        <v/>
      </c>
      <c r="B173" s="9" t="str">
        <f t="array" ref="B173">IF(OR($C173="",$I173="",$J173=""),"","JSI-"&amp;IFERROR(INDEX(Referensi!$B$5:$B$14,MATCH($I173,Referensi!$A$5:$A$14,0)),"???")&amp;"-"&amp;IFERROR(INDEX(Referensi!$E$5:$E$14,MATCH($J173,Referensi!$D$5:$D$14,0)),"???")&amp;"-"&amp;TEXT(COUNTIFS($I$5:$I173,$I173,$J$5:$J173,$J173),"000"))</f>
        <v/>
      </c>
      <c r="C173" s="10"/>
      <c r="D173" s="10"/>
      <c r="E173" s="10"/>
      <c r="F173" s="10"/>
      <c r="G173" s="10"/>
      <c r="H173" s="10"/>
      <c r="I173" s="10"/>
      <c r="J173" s="11"/>
      <c r="K173" s="10"/>
      <c r="L173" s="11"/>
      <c r="M173" s="12"/>
      <c r="N173" s="12"/>
      <c r="O173" s="12"/>
      <c r="P173" s="13" t="str">
        <f t="shared" ca="1" si="1"/>
        <v/>
      </c>
      <c r="Q173" s="13" t="str">
        <f t="shared" ca="1" si="2"/>
        <v/>
      </c>
      <c r="R173" s="8" t="str">
        <f>IF($C173="","",IF($O173="","Belum ada kontak",IF($P173&gt;Referensi!$P$8,"Segera follow up",IF($P173&gt;Referensi!$P$9,"Perlu dipantau","Terkini"))))</f>
        <v/>
      </c>
      <c r="S173" s="13" t="str">
        <f>IF($C173="","",IF(OR($L173="Selesai",$L173="Batal"),0,IF($Q173="",5,IF($Q173&lt;0,50,IF($Q173&lt;=Referensi!$P$5,40,IF($Q173&lt;=Referensi!$P$6,30,IF($Q173&lt;=Referensi!$P$7,20,10)))))+IF($O173="",25,IF($P173&gt;Referensi!$P$8,30,IF($P173&gt;Referensi!$P$9,20,5)))+IF($U173="",5,IF($U173&gt;=Referensi!$P$10,20,IF($U173&gt;=Referensi!$P$11,10,5)))+IF($L173="Tertunda",15,IF(OR($L173="Negosiasi",$L173="Penawaran"),12,IF($L173="Berjalan",8,IF($L173="Prospek",5,0))))))</f>
        <v/>
      </c>
      <c r="T173" s="8" t="str">
        <f>IF($C173="","",IF(OR($L173="Selesai",$L173="Batal"),"Tidak aktif",IF($S173&gt;=Referensi!$P$12,"KRITIS",IF($S173&gt;=Referensi!$P$13,"Tinggi",IF($S173&gt;=Referensi!$P$14,"Sedang","Rendah")))))</f>
        <v/>
      </c>
      <c r="U173" s="14"/>
      <c r="V173" s="15"/>
      <c r="W173" s="9" t="str">
        <f t="shared" si="3"/>
        <v/>
      </c>
    </row>
    <row r="174" spans="1:23" ht="31.5" customHeight="1">
      <c r="A174" s="8" t="str">
        <f t="shared" si="0"/>
        <v/>
      </c>
      <c r="B174" s="9" t="str">
        <f t="array" ref="B174">IF(OR($C174="",$I174="",$J174=""),"","JSI-"&amp;IFERROR(INDEX(Referensi!$B$5:$B$14,MATCH($I174,Referensi!$A$5:$A$14,0)),"???")&amp;"-"&amp;IFERROR(INDEX(Referensi!$E$5:$E$14,MATCH($J174,Referensi!$D$5:$D$14,0)),"???")&amp;"-"&amp;TEXT(COUNTIFS($I$5:$I174,$I174,$J$5:$J174,$J174),"000"))</f>
        <v/>
      </c>
      <c r="C174" s="10"/>
      <c r="D174" s="10"/>
      <c r="E174" s="10"/>
      <c r="F174" s="10"/>
      <c r="G174" s="10"/>
      <c r="H174" s="10"/>
      <c r="I174" s="10"/>
      <c r="J174" s="11"/>
      <c r="K174" s="10"/>
      <c r="L174" s="11"/>
      <c r="M174" s="12"/>
      <c r="N174" s="12"/>
      <c r="O174" s="12"/>
      <c r="P174" s="13" t="str">
        <f t="shared" ca="1" si="1"/>
        <v/>
      </c>
      <c r="Q174" s="13" t="str">
        <f t="shared" ca="1" si="2"/>
        <v/>
      </c>
      <c r="R174" s="8" t="str">
        <f>IF($C174="","",IF($O174="","Belum ada kontak",IF($P174&gt;Referensi!$P$8,"Segera follow up",IF($P174&gt;Referensi!$P$9,"Perlu dipantau","Terkini"))))</f>
        <v/>
      </c>
      <c r="S174" s="13" t="str">
        <f>IF($C174="","",IF(OR($L174="Selesai",$L174="Batal"),0,IF($Q174="",5,IF($Q174&lt;0,50,IF($Q174&lt;=Referensi!$P$5,40,IF($Q174&lt;=Referensi!$P$6,30,IF($Q174&lt;=Referensi!$P$7,20,10)))))+IF($O174="",25,IF($P174&gt;Referensi!$P$8,30,IF($P174&gt;Referensi!$P$9,20,5)))+IF($U174="",5,IF($U174&gt;=Referensi!$P$10,20,IF($U174&gt;=Referensi!$P$11,10,5)))+IF($L174="Tertunda",15,IF(OR($L174="Negosiasi",$L174="Penawaran"),12,IF($L174="Berjalan",8,IF($L174="Prospek",5,0))))))</f>
        <v/>
      </c>
      <c r="T174" s="8" t="str">
        <f>IF($C174="","",IF(OR($L174="Selesai",$L174="Batal"),"Tidak aktif",IF($S174&gt;=Referensi!$P$12,"KRITIS",IF($S174&gt;=Referensi!$P$13,"Tinggi",IF($S174&gt;=Referensi!$P$14,"Sedang","Rendah")))))</f>
        <v/>
      </c>
      <c r="U174" s="14"/>
      <c r="V174" s="15"/>
      <c r="W174" s="9" t="str">
        <f t="shared" si="3"/>
        <v/>
      </c>
    </row>
    <row r="175" spans="1:23" ht="31.5" customHeight="1">
      <c r="A175" s="8" t="str">
        <f t="shared" si="0"/>
        <v/>
      </c>
      <c r="B175" s="9" t="str">
        <f t="array" ref="B175">IF(OR($C175="",$I175="",$J175=""),"","JSI-"&amp;IFERROR(INDEX(Referensi!$B$5:$B$14,MATCH($I175,Referensi!$A$5:$A$14,0)),"???")&amp;"-"&amp;IFERROR(INDEX(Referensi!$E$5:$E$14,MATCH($J175,Referensi!$D$5:$D$14,0)),"???")&amp;"-"&amp;TEXT(COUNTIFS($I$5:$I175,$I175,$J$5:$J175,$J175),"000"))</f>
        <v/>
      </c>
      <c r="C175" s="10"/>
      <c r="D175" s="10"/>
      <c r="E175" s="10"/>
      <c r="F175" s="10"/>
      <c r="G175" s="10"/>
      <c r="H175" s="10"/>
      <c r="I175" s="10"/>
      <c r="J175" s="11"/>
      <c r="K175" s="10"/>
      <c r="L175" s="11"/>
      <c r="M175" s="12"/>
      <c r="N175" s="12"/>
      <c r="O175" s="12"/>
      <c r="P175" s="13" t="str">
        <f t="shared" ca="1" si="1"/>
        <v/>
      </c>
      <c r="Q175" s="13" t="str">
        <f t="shared" ca="1" si="2"/>
        <v/>
      </c>
      <c r="R175" s="8" t="str">
        <f>IF($C175="","",IF($O175="","Belum ada kontak",IF($P175&gt;Referensi!$P$8,"Segera follow up",IF($P175&gt;Referensi!$P$9,"Perlu dipantau","Terkini"))))</f>
        <v/>
      </c>
      <c r="S175" s="13" t="str">
        <f>IF($C175="","",IF(OR($L175="Selesai",$L175="Batal"),0,IF($Q175="",5,IF($Q175&lt;0,50,IF($Q175&lt;=Referensi!$P$5,40,IF($Q175&lt;=Referensi!$P$6,30,IF($Q175&lt;=Referensi!$P$7,20,10)))))+IF($O175="",25,IF($P175&gt;Referensi!$P$8,30,IF($P175&gt;Referensi!$P$9,20,5)))+IF($U175="",5,IF($U175&gt;=Referensi!$P$10,20,IF($U175&gt;=Referensi!$P$11,10,5)))+IF($L175="Tertunda",15,IF(OR($L175="Negosiasi",$L175="Penawaran"),12,IF($L175="Berjalan",8,IF($L175="Prospek",5,0))))))</f>
        <v/>
      </c>
      <c r="T175" s="8" t="str">
        <f>IF($C175="","",IF(OR($L175="Selesai",$L175="Batal"),"Tidak aktif",IF($S175&gt;=Referensi!$P$12,"KRITIS",IF($S175&gt;=Referensi!$P$13,"Tinggi",IF($S175&gt;=Referensi!$P$14,"Sedang","Rendah")))))</f>
        <v/>
      </c>
      <c r="U175" s="14"/>
      <c r="V175" s="15"/>
      <c r="W175" s="9" t="str">
        <f t="shared" si="3"/>
        <v/>
      </c>
    </row>
    <row r="176" spans="1:23" ht="31.5" customHeight="1">
      <c r="A176" s="8" t="str">
        <f t="shared" si="0"/>
        <v/>
      </c>
      <c r="B176" s="9" t="str">
        <f t="array" ref="B176">IF(OR($C176="",$I176="",$J176=""),"","JSI-"&amp;IFERROR(INDEX(Referensi!$B$5:$B$14,MATCH($I176,Referensi!$A$5:$A$14,0)),"???")&amp;"-"&amp;IFERROR(INDEX(Referensi!$E$5:$E$14,MATCH($J176,Referensi!$D$5:$D$14,0)),"???")&amp;"-"&amp;TEXT(COUNTIFS($I$5:$I176,$I176,$J$5:$J176,$J176),"000"))</f>
        <v/>
      </c>
      <c r="C176" s="10"/>
      <c r="D176" s="10"/>
      <c r="E176" s="10"/>
      <c r="F176" s="10"/>
      <c r="G176" s="10"/>
      <c r="H176" s="10"/>
      <c r="I176" s="10"/>
      <c r="J176" s="11"/>
      <c r="K176" s="10"/>
      <c r="L176" s="11"/>
      <c r="M176" s="12"/>
      <c r="N176" s="12"/>
      <c r="O176" s="12"/>
      <c r="P176" s="13" t="str">
        <f t="shared" ca="1" si="1"/>
        <v/>
      </c>
      <c r="Q176" s="13" t="str">
        <f t="shared" ca="1" si="2"/>
        <v/>
      </c>
      <c r="R176" s="8" t="str">
        <f>IF($C176="","",IF($O176="","Belum ada kontak",IF($P176&gt;Referensi!$P$8,"Segera follow up",IF($P176&gt;Referensi!$P$9,"Perlu dipantau","Terkini"))))</f>
        <v/>
      </c>
      <c r="S176" s="13" t="str">
        <f>IF($C176="","",IF(OR($L176="Selesai",$L176="Batal"),0,IF($Q176="",5,IF($Q176&lt;0,50,IF($Q176&lt;=Referensi!$P$5,40,IF($Q176&lt;=Referensi!$P$6,30,IF($Q176&lt;=Referensi!$P$7,20,10)))))+IF($O176="",25,IF($P176&gt;Referensi!$P$8,30,IF($P176&gt;Referensi!$P$9,20,5)))+IF($U176="",5,IF($U176&gt;=Referensi!$P$10,20,IF($U176&gt;=Referensi!$P$11,10,5)))+IF($L176="Tertunda",15,IF(OR($L176="Negosiasi",$L176="Penawaran"),12,IF($L176="Berjalan",8,IF($L176="Prospek",5,0))))))</f>
        <v/>
      </c>
      <c r="T176" s="8" t="str">
        <f>IF($C176="","",IF(OR($L176="Selesai",$L176="Batal"),"Tidak aktif",IF($S176&gt;=Referensi!$P$12,"KRITIS",IF($S176&gt;=Referensi!$P$13,"Tinggi",IF($S176&gt;=Referensi!$P$14,"Sedang","Rendah")))))</f>
        <v/>
      </c>
      <c r="U176" s="14"/>
      <c r="V176" s="15"/>
      <c r="W176" s="9" t="str">
        <f t="shared" si="3"/>
        <v/>
      </c>
    </row>
    <row r="177" spans="1:23" ht="31.5" customHeight="1">
      <c r="A177" s="8" t="str">
        <f t="shared" si="0"/>
        <v/>
      </c>
      <c r="B177" s="9" t="str">
        <f t="array" ref="B177">IF(OR($C177="",$I177="",$J177=""),"","JSI-"&amp;IFERROR(INDEX(Referensi!$B$5:$B$14,MATCH($I177,Referensi!$A$5:$A$14,0)),"???")&amp;"-"&amp;IFERROR(INDEX(Referensi!$E$5:$E$14,MATCH($J177,Referensi!$D$5:$D$14,0)),"???")&amp;"-"&amp;TEXT(COUNTIFS($I$5:$I177,$I177,$J$5:$J177,$J177),"000"))</f>
        <v/>
      </c>
      <c r="C177" s="10"/>
      <c r="D177" s="10"/>
      <c r="E177" s="10"/>
      <c r="F177" s="10"/>
      <c r="G177" s="10"/>
      <c r="H177" s="10"/>
      <c r="I177" s="10"/>
      <c r="J177" s="11"/>
      <c r="K177" s="10"/>
      <c r="L177" s="11"/>
      <c r="M177" s="12"/>
      <c r="N177" s="12"/>
      <c r="O177" s="12"/>
      <c r="P177" s="13" t="str">
        <f t="shared" ca="1" si="1"/>
        <v/>
      </c>
      <c r="Q177" s="13" t="str">
        <f t="shared" ca="1" si="2"/>
        <v/>
      </c>
      <c r="R177" s="8" t="str">
        <f>IF($C177="","",IF($O177="","Belum ada kontak",IF($P177&gt;Referensi!$P$8,"Segera follow up",IF($P177&gt;Referensi!$P$9,"Perlu dipantau","Terkini"))))</f>
        <v/>
      </c>
      <c r="S177" s="13" t="str">
        <f>IF($C177="","",IF(OR($L177="Selesai",$L177="Batal"),0,IF($Q177="",5,IF($Q177&lt;0,50,IF($Q177&lt;=Referensi!$P$5,40,IF($Q177&lt;=Referensi!$P$6,30,IF($Q177&lt;=Referensi!$P$7,20,10)))))+IF($O177="",25,IF($P177&gt;Referensi!$P$8,30,IF($P177&gt;Referensi!$P$9,20,5)))+IF($U177="",5,IF($U177&gt;=Referensi!$P$10,20,IF($U177&gt;=Referensi!$P$11,10,5)))+IF($L177="Tertunda",15,IF(OR($L177="Negosiasi",$L177="Penawaran"),12,IF($L177="Berjalan",8,IF($L177="Prospek",5,0))))))</f>
        <v/>
      </c>
      <c r="T177" s="8" t="str">
        <f>IF($C177="","",IF(OR($L177="Selesai",$L177="Batal"),"Tidak aktif",IF($S177&gt;=Referensi!$P$12,"KRITIS",IF($S177&gt;=Referensi!$P$13,"Tinggi",IF($S177&gt;=Referensi!$P$14,"Sedang","Rendah")))))</f>
        <v/>
      </c>
      <c r="U177" s="14"/>
      <c r="V177" s="15"/>
      <c r="W177" s="9" t="str">
        <f t="shared" si="3"/>
        <v/>
      </c>
    </row>
    <row r="178" spans="1:23" ht="31.5" customHeight="1">
      <c r="A178" s="8" t="str">
        <f t="shared" si="0"/>
        <v/>
      </c>
      <c r="B178" s="9" t="str">
        <f t="array" ref="B178">IF(OR($C178="",$I178="",$J178=""),"","JSI-"&amp;IFERROR(INDEX(Referensi!$B$5:$B$14,MATCH($I178,Referensi!$A$5:$A$14,0)),"???")&amp;"-"&amp;IFERROR(INDEX(Referensi!$E$5:$E$14,MATCH($J178,Referensi!$D$5:$D$14,0)),"???")&amp;"-"&amp;TEXT(COUNTIFS($I$5:$I178,$I178,$J$5:$J178,$J178),"000"))</f>
        <v/>
      </c>
      <c r="C178" s="10"/>
      <c r="D178" s="10"/>
      <c r="E178" s="10"/>
      <c r="F178" s="10"/>
      <c r="G178" s="10"/>
      <c r="H178" s="10"/>
      <c r="I178" s="10"/>
      <c r="J178" s="11"/>
      <c r="K178" s="10"/>
      <c r="L178" s="11"/>
      <c r="M178" s="12"/>
      <c r="N178" s="12"/>
      <c r="O178" s="12"/>
      <c r="P178" s="13" t="str">
        <f t="shared" ca="1" si="1"/>
        <v/>
      </c>
      <c r="Q178" s="13" t="str">
        <f t="shared" ca="1" si="2"/>
        <v/>
      </c>
      <c r="R178" s="8" t="str">
        <f>IF($C178="","",IF($O178="","Belum ada kontak",IF($P178&gt;Referensi!$P$8,"Segera follow up",IF($P178&gt;Referensi!$P$9,"Perlu dipantau","Terkini"))))</f>
        <v/>
      </c>
      <c r="S178" s="13" t="str">
        <f>IF($C178="","",IF(OR($L178="Selesai",$L178="Batal"),0,IF($Q178="",5,IF($Q178&lt;0,50,IF($Q178&lt;=Referensi!$P$5,40,IF($Q178&lt;=Referensi!$P$6,30,IF($Q178&lt;=Referensi!$P$7,20,10)))))+IF($O178="",25,IF($P178&gt;Referensi!$P$8,30,IF($P178&gt;Referensi!$P$9,20,5)))+IF($U178="",5,IF($U178&gt;=Referensi!$P$10,20,IF($U178&gt;=Referensi!$P$11,10,5)))+IF($L178="Tertunda",15,IF(OR($L178="Negosiasi",$L178="Penawaran"),12,IF($L178="Berjalan",8,IF($L178="Prospek",5,0))))))</f>
        <v/>
      </c>
      <c r="T178" s="8" t="str">
        <f>IF($C178="","",IF(OR($L178="Selesai",$L178="Batal"),"Tidak aktif",IF($S178&gt;=Referensi!$P$12,"KRITIS",IF($S178&gt;=Referensi!$P$13,"Tinggi",IF($S178&gt;=Referensi!$P$14,"Sedang","Rendah")))))</f>
        <v/>
      </c>
      <c r="U178" s="14"/>
      <c r="V178" s="15"/>
      <c r="W178" s="9" t="str">
        <f t="shared" si="3"/>
        <v/>
      </c>
    </row>
    <row r="179" spans="1:23" ht="31.5" customHeight="1">
      <c r="A179" s="8" t="str">
        <f t="shared" si="0"/>
        <v/>
      </c>
      <c r="B179" s="9" t="str">
        <f t="array" ref="B179">IF(OR($C179="",$I179="",$J179=""),"","JSI-"&amp;IFERROR(INDEX(Referensi!$B$5:$B$14,MATCH($I179,Referensi!$A$5:$A$14,0)),"???")&amp;"-"&amp;IFERROR(INDEX(Referensi!$E$5:$E$14,MATCH($J179,Referensi!$D$5:$D$14,0)),"???")&amp;"-"&amp;TEXT(COUNTIFS($I$5:$I179,$I179,$J$5:$J179,$J179),"000"))</f>
        <v/>
      </c>
      <c r="C179" s="10"/>
      <c r="D179" s="10"/>
      <c r="E179" s="10"/>
      <c r="F179" s="10"/>
      <c r="G179" s="10"/>
      <c r="H179" s="10"/>
      <c r="I179" s="10"/>
      <c r="J179" s="11"/>
      <c r="K179" s="10"/>
      <c r="L179" s="11"/>
      <c r="M179" s="12"/>
      <c r="N179" s="12"/>
      <c r="O179" s="12"/>
      <c r="P179" s="13" t="str">
        <f t="shared" ca="1" si="1"/>
        <v/>
      </c>
      <c r="Q179" s="13" t="str">
        <f t="shared" ca="1" si="2"/>
        <v/>
      </c>
      <c r="R179" s="8" t="str">
        <f>IF($C179="","",IF($O179="","Belum ada kontak",IF($P179&gt;Referensi!$P$8,"Segera follow up",IF($P179&gt;Referensi!$P$9,"Perlu dipantau","Terkini"))))</f>
        <v/>
      </c>
      <c r="S179" s="13" t="str">
        <f>IF($C179="","",IF(OR($L179="Selesai",$L179="Batal"),0,IF($Q179="",5,IF($Q179&lt;0,50,IF($Q179&lt;=Referensi!$P$5,40,IF($Q179&lt;=Referensi!$P$6,30,IF($Q179&lt;=Referensi!$P$7,20,10)))))+IF($O179="",25,IF($P179&gt;Referensi!$P$8,30,IF($P179&gt;Referensi!$P$9,20,5)))+IF($U179="",5,IF($U179&gt;=Referensi!$P$10,20,IF($U179&gt;=Referensi!$P$11,10,5)))+IF($L179="Tertunda",15,IF(OR($L179="Negosiasi",$L179="Penawaran"),12,IF($L179="Berjalan",8,IF($L179="Prospek",5,0))))))</f>
        <v/>
      </c>
      <c r="T179" s="8" t="str">
        <f>IF($C179="","",IF(OR($L179="Selesai",$L179="Batal"),"Tidak aktif",IF($S179&gt;=Referensi!$P$12,"KRITIS",IF($S179&gt;=Referensi!$P$13,"Tinggi",IF($S179&gt;=Referensi!$P$14,"Sedang","Rendah")))))</f>
        <v/>
      </c>
      <c r="U179" s="14"/>
      <c r="V179" s="15"/>
      <c r="W179" s="9" t="str">
        <f t="shared" si="3"/>
        <v/>
      </c>
    </row>
    <row r="180" spans="1:23" ht="31.5" customHeight="1">
      <c r="A180" s="8" t="str">
        <f t="shared" si="0"/>
        <v/>
      </c>
      <c r="B180" s="9" t="str">
        <f t="array" ref="B180">IF(OR($C180="",$I180="",$J180=""),"","JSI-"&amp;IFERROR(INDEX(Referensi!$B$5:$B$14,MATCH($I180,Referensi!$A$5:$A$14,0)),"???")&amp;"-"&amp;IFERROR(INDEX(Referensi!$E$5:$E$14,MATCH($J180,Referensi!$D$5:$D$14,0)),"???")&amp;"-"&amp;TEXT(COUNTIFS($I$5:$I180,$I180,$J$5:$J180,$J180),"000"))</f>
        <v/>
      </c>
      <c r="C180" s="10"/>
      <c r="D180" s="10"/>
      <c r="E180" s="10"/>
      <c r="F180" s="10"/>
      <c r="G180" s="10"/>
      <c r="H180" s="10"/>
      <c r="I180" s="10"/>
      <c r="J180" s="11"/>
      <c r="K180" s="10"/>
      <c r="L180" s="11"/>
      <c r="M180" s="12"/>
      <c r="N180" s="12"/>
      <c r="O180" s="12"/>
      <c r="P180" s="13" t="str">
        <f t="shared" ca="1" si="1"/>
        <v/>
      </c>
      <c r="Q180" s="13" t="str">
        <f t="shared" ca="1" si="2"/>
        <v/>
      </c>
      <c r="R180" s="8" t="str">
        <f>IF($C180="","",IF($O180="","Belum ada kontak",IF($P180&gt;Referensi!$P$8,"Segera follow up",IF($P180&gt;Referensi!$P$9,"Perlu dipantau","Terkini"))))</f>
        <v/>
      </c>
      <c r="S180" s="13" t="str">
        <f>IF($C180="","",IF(OR($L180="Selesai",$L180="Batal"),0,IF($Q180="",5,IF($Q180&lt;0,50,IF($Q180&lt;=Referensi!$P$5,40,IF($Q180&lt;=Referensi!$P$6,30,IF($Q180&lt;=Referensi!$P$7,20,10)))))+IF($O180="",25,IF($P180&gt;Referensi!$P$8,30,IF($P180&gt;Referensi!$P$9,20,5)))+IF($U180="",5,IF($U180&gt;=Referensi!$P$10,20,IF($U180&gt;=Referensi!$P$11,10,5)))+IF($L180="Tertunda",15,IF(OR($L180="Negosiasi",$L180="Penawaran"),12,IF($L180="Berjalan",8,IF($L180="Prospek",5,0))))))</f>
        <v/>
      </c>
      <c r="T180" s="8" t="str">
        <f>IF($C180="","",IF(OR($L180="Selesai",$L180="Batal"),"Tidak aktif",IF($S180&gt;=Referensi!$P$12,"KRITIS",IF($S180&gt;=Referensi!$P$13,"Tinggi",IF($S180&gt;=Referensi!$P$14,"Sedang","Rendah")))))</f>
        <v/>
      </c>
      <c r="U180" s="14"/>
      <c r="V180" s="15"/>
      <c r="W180" s="9" t="str">
        <f t="shared" si="3"/>
        <v/>
      </c>
    </row>
    <row r="181" spans="1:23" ht="31.5" customHeight="1">
      <c r="A181" s="8" t="str">
        <f t="shared" si="0"/>
        <v/>
      </c>
      <c r="B181" s="9" t="str">
        <f t="array" ref="B181">IF(OR($C181="",$I181="",$J181=""),"","JSI-"&amp;IFERROR(INDEX(Referensi!$B$5:$B$14,MATCH($I181,Referensi!$A$5:$A$14,0)),"???")&amp;"-"&amp;IFERROR(INDEX(Referensi!$E$5:$E$14,MATCH($J181,Referensi!$D$5:$D$14,0)),"???")&amp;"-"&amp;TEXT(COUNTIFS($I$5:$I181,$I181,$J$5:$J181,$J181),"000"))</f>
        <v/>
      </c>
      <c r="C181" s="10"/>
      <c r="D181" s="10"/>
      <c r="E181" s="10"/>
      <c r="F181" s="10"/>
      <c r="G181" s="10"/>
      <c r="H181" s="10"/>
      <c r="I181" s="10"/>
      <c r="J181" s="11"/>
      <c r="K181" s="10"/>
      <c r="L181" s="11"/>
      <c r="M181" s="12"/>
      <c r="N181" s="12"/>
      <c r="O181" s="12"/>
      <c r="P181" s="13" t="str">
        <f t="shared" ca="1" si="1"/>
        <v/>
      </c>
      <c r="Q181" s="13" t="str">
        <f t="shared" ca="1" si="2"/>
        <v/>
      </c>
      <c r="R181" s="8" t="str">
        <f>IF($C181="","",IF($O181="","Belum ada kontak",IF($P181&gt;Referensi!$P$8,"Segera follow up",IF($P181&gt;Referensi!$P$9,"Perlu dipantau","Terkini"))))</f>
        <v/>
      </c>
      <c r="S181" s="13" t="str">
        <f>IF($C181="","",IF(OR($L181="Selesai",$L181="Batal"),0,IF($Q181="",5,IF($Q181&lt;0,50,IF($Q181&lt;=Referensi!$P$5,40,IF($Q181&lt;=Referensi!$P$6,30,IF($Q181&lt;=Referensi!$P$7,20,10)))))+IF($O181="",25,IF($P181&gt;Referensi!$P$8,30,IF($P181&gt;Referensi!$P$9,20,5)))+IF($U181="",5,IF($U181&gt;=Referensi!$P$10,20,IF($U181&gt;=Referensi!$P$11,10,5)))+IF($L181="Tertunda",15,IF(OR($L181="Negosiasi",$L181="Penawaran"),12,IF($L181="Berjalan",8,IF($L181="Prospek",5,0))))))</f>
        <v/>
      </c>
      <c r="T181" s="8" t="str">
        <f>IF($C181="","",IF(OR($L181="Selesai",$L181="Batal"),"Tidak aktif",IF($S181&gt;=Referensi!$P$12,"KRITIS",IF($S181&gt;=Referensi!$P$13,"Tinggi",IF($S181&gt;=Referensi!$P$14,"Sedang","Rendah")))))</f>
        <v/>
      </c>
      <c r="U181" s="14"/>
      <c r="V181" s="15"/>
      <c r="W181" s="9" t="str">
        <f t="shared" si="3"/>
        <v/>
      </c>
    </row>
    <row r="182" spans="1:23" ht="31.5" customHeight="1">
      <c r="A182" s="8" t="str">
        <f t="shared" si="0"/>
        <v/>
      </c>
      <c r="B182" s="9" t="str">
        <f t="array" ref="B182">IF(OR($C182="",$I182="",$J182=""),"","JSI-"&amp;IFERROR(INDEX(Referensi!$B$5:$B$14,MATCH($I182,Referensi!$A$5:$A$14,0)),"???")&amp;"-"&amp;IFERROR(INDEX(Referensi!$E$5:$E$14,MATCH($J182,Referensi!$D$5:$D$14,0)),"???")&amp;"-"&amp;TEXT(COUNTIFS($I$5:$I182,$I182,$J$5:$J182,$J182),"000"))</f>
        <v/>
      </c>
      <c r="C182" s="10"/>
      <c r="D182" s="10"/>
      <c r="E182" s="10"/>
      <c r="F182" s="10"/>
      <c r="G182" s="10"/>
      <c r="H182" s="10"/>
      <c r="I182" s="10"/>
      <c r="J182" s="11"/>
      <c r="K182" s="10"/>
      <c r="L182" s="11"/>
      <c r="M182" s="12"/>
      <c r="N182" s="12"/>
      <c r="O182" s="12"/>
      <c r="P182" s="13" t="str">
        <f t="shared" ca="1" si="1"/>
        <v/>
      </c>
      <c r="Q182" s="13" t="str">
        <f t="shared" ca="1" si="2"/>
        <v/>
      </c>
      <c r="R182" s="8" t="str">
        <f>IF($C182="","",IF($O182="","Belum ada kontak",IF($P182&gt;Referensi!$P$8,"Segera follow up",IF($P182&gt;Referensi!$P$9,"Perlu dipantau","Terkini"))))</f>
        <v/>
      </c>
      <c r="S182" s="13" t="str">
        <f>IF($C182="","",IF(OR($L182="Selesai",$L182="Batal"),0,IF($Q182="",5,IF($Q182&lt;0,50,IF($Q182&lt;=Referensi!$P$5,40,IF($Q182&lt;=Referensi!$P$6,30,IF($Q182&lt;=Referensi!$P$7,20,10)))))+IF($O182="",25,IF($P182&gt;Referensi!$P$8,30,IF($P182&gt;Referensi!$P$9,20,5)))+IF($U182="",5,IF($U182&gt;=Referensi!$P$10,20,IF($U182&gt;=Referensi!$P$11,10,5)))+IF($L182="Tertunda",15,IF(OR($L182="Negosiasi",$L182="Penawaran"),12,IF($L182="Berjalan",8,IF($L182="Prospek",5,0))))))</f>
        <v/>
      </c>
      <c r="T182" s="8" t="str">
        <f>IF($C182="","",IF(OR($L182="Selesai",$L182="Batal"),"Tidak aktif",IF($S182&gt;=Referensi!$P$12,"KRITIS",IF($S182&gt;=Referensi!$P$13,"Tinggi",IF($S182&gt;=Referensi!$P$14,"Sedang","Rendah")))))</f>
        <v/>
      </c>
      <c r="U182" s="14"/>
      <c r="V182" s="15"/>
      <c r="W182" s="9" t="str">
        <f t="shared" si="3"/>
        <v/>
      </c>
    </row>
    <row r="183" spans="1:23" ht="31.5" customHeight="1">
      <c r="A183" s="8" t="str">
        <f t="shared" si="0"/>
        <v/>
      </c>
      <c r="B183" s="9" t="str">
        <f t="array" ref="B183">IF(OR($C183="",$I183="",$J183=""),"","JSI-"&amp;IFERROR(INDEX(Referensi!$B$5:$B$14,MATCH($I183,Referensi!$A$5:$A$14,0)),"???")&amp;"-"&amp;IFERROR(INDEX(Referensi!$E$5:$E$14,MATCH($J183,Referensi!$D$5:$D$14,0)),"???")&amp;"-"&amp;TEXT(COUNTIFS($I$5:$I183,$I183,$J$5:$J183,$J183),"000"))</f>
        <v/>
      </c>
      <c r="C183" s="10"/>
      <c r="D183" s="10"/>
      <c r="E183" s="10"/>
      <c r="F183" s="10"/>
      <c r="G183" s="10"/>
      <c r="H183" s="10"/>
      <c r="I183" s="10"/>
      <c r="J183" s="11"/>
      <c r="K183" s="10"/>
      <c r="L183" s="11"/>
      <c r="M183" s="12"/>
      <c r="N183" s="12"/>
      <c r="O183" s="12"/>
      <c r="P183" s="13" t="str">
        <f t="shared" ca="1" si="1"/>
        <v/>
      </c>
      <c r="Q183" s="13" t="str">
        <f t="shared" ca="1" si="2"/>
        <v/>
      </c>
      <c r="R183" s="8" t="str">
        <f>IF($C183="","",IF($O183="","Belum ada kontak",IF($P183&gt;Referensi!$P$8,"Segera follow up",IF($P183&gt;Referensi!$P$9,"Perlu dipantau","Terkini"))))</f>
        <v/>
      </c>
      <c r="S183" s="13" t="str">
        <f>IF($C183="","",IF(OR($L183="Selesai",$L183="Batal"),0,IF($Q183="",5,IF($Q183&lt;0,50,IF($Q183&lt;=Referensi!$P$5,40,IF($Q183&lt;=Referensi!$P$6,30,IF($Q183&lt;=Referensi!$P$7,20,10)))))+IF($O183="",25,IF($P183&gt;Referensi!$P$8,30,IF($P183&gt;Referensi!$P$9,20,5)))+IF($U183="",5,IF($U183&gt;=Referensi!$P$10,20,IF($U183&gt;=Referensi!$P$11,10,5)))+IF($L183="Tertunda",15,IF(OR($L183="Negosiasi",$L183="Penawaran"),12,IF($L183="Berjalan",8,IF($L183="Prospek",5,0))))))</f>
        <v/>
      </c>
      <c r="T183" s="8" t="str">
        <f>IF($C183="","",IF(OR($L183="Selesai",$L183="Batal"),"Tidak aktif",IF($S183&gt;=Referensi!$P$12,"KRITIS",IF($S183&gt;=Referensi!$P$13,"Tinggi",IF($S183&gt;=Referensi!$P$14,"Sedang","Rendah")))))</f>
        <v/>
      </c>
      <c r="U183" s="14"/>
      <c r="V183" s="15"/>
      <c r="W183" s="9" t="str">
        <f t="shared" si="3"/>
        <v/>
      </c>
    </row>
    <row r="184" spans="1:23" ht="31.5" customHeight="1">
      <c r="A184" s="8" t="str">
        <f t="shared" si="0"/>
        <v/>
      </c>
      <c r="B184" s="9" t="str">
        <f t="array" ref="B184">IF(OR($C184="",$I184="",$J184=""),"","JSI-"&amp;IFERROR(INDEX(Referensi!$B$5:$B$14,MATCH($I184,Referensi!$A$5:$A$14,0)),"???")&amp;"-"&amp;IFERROR(INDEX(Referensi!$E$5:$E$14,MATCH($J184,Referensi!$D$5:$D$14,0)),"???")&amp;"-"&amp;TEXT(COUNTIFS($I$5:$I184,$I184,$J$5:$J184,$J184),"000"))</f>
        <v/>
      </c>
      <c r="C184" s="10"/>
      <c r="D184" s="10"/>
      <c r="E184" s="10"/>
      <c r="F184" s="10"/>
      <c r="G184" s="10"/>
      <c r="H184" s="10"/>
      <c r="I184" s="10"/>
      <c r="J184" s="11"/>
      <c r="K184" s="10"/>
      <c r="L184" s="11"/>
      <c r="M184" s="12"/>
      <c r="N184" s="12"/>
      <c r="O184" s="12"/>
      <c r="P184" s="13" t="str">
        <f t="shared" ca="1" si="1"/>
        <v/>
      </c>
      <c r="Q184" s="13" t="str">
        <f t="shared" ca="1" si="2"/>
        <v/>
      </c>
      <c r="R184" s="8" t="str">
        <f>IF($C184="","",IF($O184="","Belum ada kontak",IF($P184&gt;Referensi!$P$8,"Segera follow up",IF($P184&gt;Referensi!$P$9,"Perlu dipantau","Terkini"))))</f>
        <v/>
      </c>
      <c r="S184" s="13" t="str">
        <f>IF($C184="","",IF(OR($L184="Selesai",$L184="Batal"),0,IF($Q184="",5,IF($Q184&lt;0,50,IF($Q184&lt;=Referensi!$P$5,40,IF($Q184&lt;=Referensi!$P$6,30,IF($Q184&lt;=Referensi!$P$7,20,10)))))+IF($O184="",25,IF($P184&gt;Referensi!$P$8,30,IF($P184&gt;Referensi!$P$9,20,5)))+IF($U184="",5,IF($U184&gt;=Referensi!$P$10,20,IF($U184&gt;=Referensi!$P$11,10,5)))+IF($L184="Tertunda",15,IF(OR($L184="Negosiasi",$L184="Penawaran"),12,IF($L184="Berjalan",8,IF($L184="Prospek",5,0))))))</f>
        <v/>
      </c>
      <c r="T184" s="8" t="str">
        <f>IF($C184="","",IF(OR($L184="Selesai",$L184="Batal"),"Tidak aktif",IF($S184&gt;=Referensi!$P$12,"KRITIS",IF($S184&gt;=Referensi!$P$13,"Tinggi",IF($S184&gt;=Referensi!$P$14,"Sedang","Rendah")))))</f>
        <v/>
      </c>
      <c r="U184" s="14"/>
      <c r="V184" s="15"/>
      <c r="W184" s="9" t="str">
        <f t="shared" si="3"/>
        <v/>
      </c>
    </row>
    <row r="185" spans="1:23" ht="31.5" customHeight="1">
      <c r="A185" s="8" t="str">
        <f t="shared" si="0"/>
        <v/>
      </c>
      <c r="B185" s="9" t="str">
        <f t="array" ref="B185">IF(OR($C185="",$I185="",$J185=""),"","JSI-"&amp;IFERROR(INDEX(Referensi!$B$5:$B$14,MATCH($I185,Referensi!$A$5:$A$14,0)),"???")&amp;"-"&amp;IFERROR(INDEX(Referensi!$E$5:$E$14,MATCH($J185,Referensi!$D$5:$D$14,0)),"???")&amp;"-"&amp;TEXT(COUNTIFS($I$5:$I185,$I185,$J$5:$J185,$J185),"000"))</f>
        <v/>
      </c>
      <c r="C185" s="10"/>
      <c r="D185" s="10"/>
      <c r="E185" s="10"/>
      <c r="F185" s="10"/>
      <c r="G185" s="10"/>
      <c r="H185" s="10"/>
      <c r="I185" s="10"/>
      <c r="J185" s="11"/>
      <c r="K185" s="10"/>
      <c r="L185" s="11"/>
      <c r="M185" s="12"/>
      <c r="N185" s="12"/>
      <c r="O185" s="12"/>
      <c r="P185" s="13" t="str">
        <f t="shared" ca="1" si="1"/>
        <v/>
      </c>
      <c r="Q185" s="13" t="str">
        <f t="shared" ca="1" si="2"/>
        <v/>
      </c>
      <c r="R185" s="8" t="str">
        <f>IF($C185="","",IF($O185="","Belum ada kontak",IF($P185&gt;Referensi!$P$8,"Segera follow up",IF($P185&gt;Referensi!$P$9,"Perlu dipantau","Terkini"))))</f>
        <v/>
      </c>
      <c r="S185" s="13" t="str">
        <f>IF($C185="","",IF(OR($L185="Selesai",$L185="Batal"),0,IF($Q185="",5,IF($Q185&lt;0,50,IF($Q185&lt;=Referensi!$P$5,40,IF($Q185&lt;=Referensi!$P$6,30,IF($Q185&lt;=Referensi!$P$7,20,10)))))+IF($O185="",25,IF($P185&gt;Referensi!$P$8,30,IF($P185&gt;Referensi!$P$9,20,5)))+IF($U185="",5,IF($U185&gt;=Referensi!$P$10,20,IF($U185&gt;=Referensi!$P$11,10,5)))+IF($L185="Tertunda",15,IF(OR($L185="Negosiasi",$L185="Penawaran"),12,IF($L185="Berjalan",8,IF($L185="Prospek",5,0))))))</f>
        <v/>
      </c>
      <c r="T185" s="8" t="str">
        <f>IF($C185="","",IF(OR($L185="Selesai",$L185="Batal"),"Tidak aktif",IF($S185&gt;=Referensi!$P$12,"KRITIS",IF($S185&gt;=Referensi!$P$13,"Tinggi",IF($S185&gt;=Referensi!$P$14,"Sedang","Rendah")))))</f>
        <v/>
      </c>
      <c r="U185" s="14"/>
      <c r="V185" s="15"/>
      <c r="W185" s="9" t="str">
        <f t="shared" si="3"/>
        <v/>
      </c>
    </row>
    <row r="186" spans="1:23" ht="31.5" customHeight="1">
      <c r="A186" s="8" t="str">
        <f t="shared" si="0"/>
        <v/>
      </c>
      <c r="B186" s="9" t="str">
        <f t="array" ref="B186">IF(OR($C186="",$I186="",$J186=""),"","JSI-"&amp;IFERROR(INDEX(Referensi!$B$5:$B$14,MATCH($I186,Referensi!$A$5:$A$14,0)),"???")&amp;"-"&amp;IFERROR(INDEX(Referensi!$E$5:$E$14,MATCH($J186,Referensi!$D$5:$D$14,0)),"???")&amp;"-"&amp;TEXT(COUNTIFS($I$5:$I186,$I186,$J$5:$J186,$J186),"000"))</f>
        <v/>
      </c>
      <c r="C186" s="10"/>
      <c r="D186" s="10"/>
      <c r="E186" s="10"/>
      <c r="F186" s="10"/>
      <c r="G186" s="10"/>
      <c r="H186" s="10"/>
      <c r="I186" s="10"/>
      <c r="J186" s="11"/>
      <c r="K186" s="10"/>
      <c r="L186" s="11"/>
      <c r="M186" s="12"/>
      <c r="N186" s="12"/>
      <c r="O186" s="12"/>
      <c r="P186" s="13" t="str">
        <f t="shared" ca="1" si="1"/>
        <v/>
      </c>
      <c r="Q186" s="13" t="str">
        <f t="shared" ca="1" si="2"/>
        <v/>
      </c>
      <c r="R186" s="8" t="str">
        <f>IF($C186="","",IF($O186="","Belum ada kontak",IF($P186&gt;Referensi!$P$8,"Segera follow up",IF($P186&gt;Referensi!$P$9,"Perlu dipantau","Terkini"))))</f>
        <v/>
      </c>
      <c r="S186" s="13" t="str">
        <f>IF($C186="","",IF(OR($L186="Selesai",$L186="Batal"),0,IF($Q186="",5,IF($Q186&lt;0,50,IF($Q186&lt;=Referensi!$P$5,40,IF($Q186&lt;=Referensi!$P$6,30,IF($Q186&lt;=Referensi!$P$7,20,10)))))+IF($O186="",25,IF($P186&gt;Referensi!$P$8,30,IF($P186&gt;Referensi!$P$9,20,5)))+IF($U186="",5,IF($U186&gt;=Referensi!$P$10,20,IF($U186&gt;=Referensi!$P$11,10,5)))+IF($L186="Tertunda",15,IF(OR($L186="Negosiasi",$L186="Penawaran"),12,IF($L186="Berjalan",8,IF($L186="Prospek",5,0))))))</f>
        <v/>
      </c>
      <c r="T186" s="8" t="str">
        <f>IF($C186="","",IF(OR($L186="Selesai",$L186="Batal"),"Tidak aktif",IF($S186&gt;=Referensi!$P$12,"KRITIS",IF($S186&gt;=Referensi!$P$13,"Tinggi",IF($S186&gt;=Referensi!$P$14,"Sedang","Rendah")))))</f>
        <v/>
      </c>
      <c r="U186" s="14"/>
      <c r="V186" s="15"/>
      <c r="W186" s="9" t="str">
        <f t="shared" si="3"/>
        <v/>
      </c>
    </row>
    <row r="187" spans="1:23" ht="31.5" customHeight="1">
      <c r="A187" s="8" t="str">
        <f t="shared" si="0"/>
        <v/>
      </c>
      <c r="B187" s="9" t="str">
        <f t="array" ref="B187">IF(OR($C187="",$I187="",$J187=""),"","JSI-"&amp;IFERROR(INDEX(Referensi!$B$5:$B$14,MATCH($I187,Referensi!$A$5:$A$14,0)),"???")&amp;"-"&amp;IFERROR(INDEX(Referensi!$E$5:$E$14,MATCH($J187,Referensi!$D$5:$D$14,0)),"???")&amp;"-"&amp;TEXT(COUNTIFS($I$5:$I187,$I187,$J$5:$J187,$J187),"000"))</f>
        <v/>
      </c>
      <c r="C187" s="10"/>
      <c r="D187" s="10"/>
      <c r="E187" s="10"/>
      <c r="F187" s="10"/>
      <c r="G187" s="10"/>
      <c r="H187" s="10"/>
      <c r="I187" s="10"/>
      <c r="J187" s="11"/>
      <c r="K187" s="10"/>
      <c r="L187" s="11"/>
      <c r="M187" s="12"/>
      <c r="N187" s="12"/>
      <c r="O187" s="12"/>
      <c r="P187" s="13" t="str">
        <f t="shared" ca="1" si="1"/>
        <v/>
      </c>
      <c r="Q187" s="13" t="str">
        <f t="shared" ca="1" si="2"/>
        <v/>
      </c>
      <c r="R187" s="8" t="str">
        <f>IF($C187="","",IF($O187="","Belum ada kontak",IF($P187&gt;Referensi!$P$8,"Segera follow up",IF($P187&gt;Referensi!$P$9,"Perlu dipantau","Terkini"))))</f>
        <v/>
      </c>
      <c r="S187" s="13" t="str">
        <f>IF($C187="","",IF(OR($L187="Selesai",$L187="Batal"),0,IF($Q187="",5,IF($Q187&lt;0,50,IF($Q187&lt;=Referensi!$P$5,40,IF($Q187&lt;=Referensi!$P$6,30,IF($Q187&lt;=Referensi!$P$7,20,10)))))+IF($O187="",25,IF($P187&gt;Referensi!$P$8,30,IF($P187&gt;Referensi!$P$9,20,5)))+IF($U187="",5,IF($U187&gt;=Referensi!$P$10,20,IF($U187&gt;=Referensi!$P$11,10,5)))+IF($L187="Tertunda",15,IF(OR($L187="Negosiasi",$L187="Penawaran"),12,IF($L187="Berjalan",8,IF($L187="Prospek",5,0))))))</f>
        <v/>
      </c>
      <c r="T187" s="8" t="str">
        <f>IF($C187="","",IF(OR($L187="Selesai",$L187="Batal"),"Tidak aktif",IF($S187&gt;=Referensi!$P$12,"KRITIS",IF($S187&gt;=Referensi!$P$13,"Tinggi",IF($S187&gt;=Referensi!$P$14,"Sedang","Rendah")))))</f>
        <v/>
      </c>
      <c r="U187" s="14"/>
      <c r="V187" s="15"/>
      <c r="W187" s="9" t="str">
        <f t="shared" si="3"/>
        <v/>
      </c>
    </row>
    <row r="188" spans="1:23" ht="31.5" customHeight="1">
      <c r="A188" s="8" t="str">
        <f t="shared" si="0"/>
        <v/>
      </c>
      <c r="B188" s="9" t="str">
        <f t="array" ref="B188">IF(OR($C188="",$I188="",$J188=""),"","JSI-"&amp;IFERROR(INDEX(Referensi!$B$5:$B$14,MATCH($I188,Referensi!$A$5:$A$14,0)),"???")&amp;"-"&amp;IFERROR(INDEX(Referensi!$E$5:$E$14,MATCH($J188,Referensi!$D$5:$D$14,0)),"???")&amp;"-"&amp;TEXT(COUNTIFS($I$5:$I188,$I188,$J$5:$J188,$J188),"000"))</f>
        <v/>
      </c>
      <c r="C188" s="10"/>
      <c r="D188" s="10"/>
      <c r="E188" s="10"/>
      <c r="F188" s="10"/>
      <c r="G188" s="10"/>
      <c r="H188" s="10"/>
      <c r="I188" s="10"/>
      <c r="J188" s="11"/>
      <c r="K188" s="10"/>
      <c r="L188" s="11"/>
      <c r="M188" s="12"/>
      <c r="N188" s="12"/>
      <c r="O188" s="12"/>
      <c r="P188" s="13" t="str">
        <f t="shared" ca="1" si="1"/>
        <v/>
      </c>
      <c r="Q188" s="13" t="str">
        <f t="shared" ca="1" si="2"/>
        <v/>
      </c>
      <c r="R188" s="8" t="str">
        <f>IF($C188="","",IF($O188="","Belum ada kontak",IF($P188&gt;Referensi!$P$8,"Segera follow up",IF($P188&gt;Referensi!$P$9,"Perlu dipantau","Terkini"))))</f>
        <v/>
      </c>
      <c r="S188" s="13" t="str">
        <f>IF($C188="","",IF(OR($L188="Selesai",$L188="Batal"),0,IF($Q188="",5,IF($Q188&lt;0,50,IF($Q188&lt;=Referensi!$P$5,40,IF($Q188&lt;=Referensi!$P$6,30,IF($Q188&lt;=Referensi!$P$7,20,10)))))+IF($O188="",25,IF($P188&gt;Referensi!$P$8,30,IF($P188&gt;Referensi!$P$9,20,5)))+IF($U188="",5,IF($U188&gt;=Referensi!$P$10,20,IF($U188&gt;=Referensi!$P$11,10,5)))+IF($L188="Tertunda",15,IF(OR($L188="Negosiasi",$L188="Penawaran"),12,IF($L188="Berjalan",8,IF($L188="Prospek",5,0))))))</f>
        <v/>
      </c>
      <c r="T188" s="8" t="str">
        <f>IF($C188="","",IF(OR($L188="Selesai",$L188="Batal"),"Tidak aktif",IF($S188&gt;=Referensi!$P$12,"KRITIS",IF($S188&gt;=Referensi!$P$13,"Tinggi",IF($S188&gt;=Referensi!$P$14,"Sedang","Rendah")))))</f>
        <v/>
      </c>
      <c r="U188" s="14"/>
      <c r="V188" s="15"/>
      <c r="W188" s="9" t="str">
        <f t="shared" si="3"/>
        <v/>
      </c>
    </row>
    <row r="189" spans="1:23" ht="31.5" customHeight="1">
      <c r="A189" s="8" t="str">
        <f t="shared" si="0"/>
        <v/>
      </c>
      <c r="B189" s="9" t="str">
        <f t="array" ref="B189">IF(OR($C189="",$I189="",$J189=""),"","JSI-"&amp;IFERROR(INDEX(Referensi!$B$5:$B$14,MATCH($I189,Referensi!$A$5:$A$14,0)),"???")&amp;"-"&amp;IFERROR(INDEX(Referensi!$E$5:$E$14,MATCH($J189,Referensi!$D$5:$D$14,0)),"???")&amp;"-"&amp;TEXT(COUNTIFS($I$5:$I189,$I189,$J$5:$J189,$J189),"000"))</f>
        <v/>
      </c>
      <c r="C189" s="10"/>
      <c r="D189" s="10"/>
      <c r="E189" s="10"/>
      <c r="F189" s="10"/>
      <c r="G189" s="10"/>
      <c r="H189" s="10"/>
      <c r="I189" s="10"/>
      <c r="J189" s="11"/>
      <c r="K189" s="10"/>
      <c r="L189" s="11"/>
      <c r="M189" s="12"/>
      <c r="N189" s="12"/>
      <c r="O189" s="12"/>
      <c r="P189" s="13" t="str">
        <f t="shared" ca="1" si="1"/>
        <v/>
      </c>
      <c r="Q189" s="13" t="str">
        <f t="shared" ca="1" si="2"/>
        <v/>
      </c>
      <c r="R189" s="8" t="str">
        <f>IF($C189="","",IF($O189="","Belum ada kontak",IF($P189&gt;Referensi!$P$8,"Segera follow up",IF($P189&gt;Referensi!$P$9,"Perlu dipantau","Terkini"))))</f>
        <v/>
      </c>
      <c r="S189" s="13" t="str">
        <f>IF($C189="","",IF(OR($L189="Selesai",$L189="Batal"),0,IF($Q189="",5,IF($Q189&lt;0,50,IF($Q189&lt;=Referensi!$P$5,40,IF($Q189&lt;=Referensi!$P$6,30,IF($Q189&lt;=Referensi!$P$7,20,10)))))+IF($O189="",25,IF($P189&gt;Referensi!$P$8,30,IF($P189&gt;Referensi!$P$9,20,5)))+IF($U189="",5,IF($U189&gt;=Referensi!$P$10,20,IF($U189&gt;=Referensi!$P$11,10,5)))+IF($L189="Tertunda",15,IF(OR($L189="Negosiasi",$L189="Penawaran"),12,IF($L189="Berjalan",8,IF($L189="Prospek",5,0))))))</f>
        <v/>
      </c>
      <c r="T189" s="8" t="str">
        <f>IF($C189="","",IF(OR($L189="Selesai",$L189="Batal"),"Tidak aktif",IF($S189&gt;=Referensi!$P$12,"KRITIS",IF($S189&gt;=Referensi!$P$13,"Tinggi",IF($S189&gt;=Referensi!$P$14,"Sedang","Rendah")))))</f>
        <v/>
      </c>
      <c r="U189" s="14"/>
      <c r="V189" s="15"/>
      <c r="W189" s="9" t="str">
        <f t="shared" si="3"/>
        <v/>
      </c>
    </row>
    <row r="190" spans="1:23" ht="31.5" customHeight="1">
      <c r="A190" s="8" t="str">
        <f t="shared" si="0"/>
        <v/>
      </c>
      <c r="B190" s="9" t="str">
        <f t="array" ref="B190">IF(OR($C190="",$I190="",$J190=""),"","JSI-"&amp;IFERROR(INDEX(Referensi!$B$5:$B$14,MATCH($I190,Referensi!$A$5:$A$14,0)),"???")&amp;"-"&amp;IFERROR(INDEX(Referensi!$E$5:$E$14,MATCH($J190,Referensi!$D$5:$D$14,0)),"???")&amp;"-"&amp;TEXT(COUNTIFS($I$5:$I190,$I190,$J$5:$J190,$J190),"000"))</f>
        <v/>
      </c>
      <c r="C190" s="10"/>
      <c r="D190" s="10"/>
      <c r="E190" s="10"/>
      <c r="F190" s="10"/>
      <c r="G190" s="10"/>
      <c r="H190" s="10"/>
      <c r="I190" s="10"/>
      <c r="J190" s="11"/>
      <c r="K190" s="10"/>
      <c r="L190" s="11"/>
      <c r="M190" s="12"/>
      <c r="N190" s="12"/>
      <c r="O190" s="12"/>
      <c r="P190" s="13" t="str">
        <f t="shared" ca="1" si="1"/>
        <v/>
      </c>
      <c r="Q190" s="13" t="str">
        <f t="shared" ca="1" si="2"/>
        <v/>
      </c>
      <c r="R190" s="8" t="str">
        <f>IF($C190="","",IF($O190="","Belum ada kontak",IF($P190&gt;Referensi!$P$8,"Segera follow up",IF($P190&gt;Referensi!$P$9,"Perlu dipantau","Terkini"))))</f>
        <v/>
      </c>
      <c r="S190" s="13" t="str">
        <f>IF($C190="","",IF(OR($L190="Selesai",$L190="Batal"),0,IF($Q190="",5,IF($Q190&lt;0,50,IF($Q190&lt;=Referensi!$P$5,40,IF($Q190&lt;=Referensi!$P$6,30,IF($Q190&lt;=Referensi!$P$7,20,10)))))+IF($O190="",25,IF($P190&gt;Referensi!$P$8,30,IF($P190&gt;Referensi!$P$9,20,5)))+IF($U190="",5,IF($U190&gt;=Referensi!$P$10,20,IF($U190&gt;=Referensi!$P$11,10,5)))+IF($L190="Tertunda",15,IF(OR($L190="Negosiasi",$L190="Penawaran"),12,IF($L190="Berjalan",8,IF($L190="Prospek",5,0))))))</f>
        <v/>
      </c>
      <c r="T190" s="8" t="str">
        <f>IF($C190="","",IF(OR($L190="Selesai",$L190="Batal"),"Tidak aktif",IF($S190&gt;=Referensi!$P$12,"KRITIS",IF($S190&gt;=Referensi!$P$13,"Tinggi",IF($S190&gt;=Referensi!$P$14,"Sedang","Rendah")))))</f>
        <v/>
      </c>
      <c r="U190" s="14"/>
      <c r="V190" s="15"/>
      <c r="W190" s="9" t="str">
        <f t="shared" si="3"/>
        <v/>
      </c>
    </row>
    <row r="191" spans="1:23" ht="31.5" customHeight="1">
      <c r="A191" s="8" t="str">
        <f t="shared" si="0"/>
        <v/>
      </c>
      <c r="B191" s="9" t="str">
        <f t="array" ref="B191">IF(OR($C191="",$I191="",$J191=""),"","JSI-"&amp;IFERROR(INDEX(Referensi!$B$5:$B$14,MATCH($I191,Referensi!$A$5:$A$14,0)),"???")&amp;"-"&amp;IFERROR(INDEX(Referensi!$E$5:$E$14,MATCH($J191,Referensi!$D$5:$D$14,0)),"???")&amp;"-"&amp;TEXT(COUNTIFS($I$5:$I191,$I191,$J$5:$J191,$J191),"000"))</f>
        <v/>
      </c>
      <c r="C191" s="10"/>
      <c r="D191" s="10"/>
      <c r="E191" s="10"/>
      <c r="F191" s="10"/>
      <c r="G191" s="10"/>
      <c r="H191" s="10"/>
      <c r="I191" s="10"/>
      <c r="J191" s="11"/>
      <c r="K191" s="10"/>
      <c r="L191" s="11"/>
      <c r="M191" s="12"/>
      <c r="N191" s="12"/>
      <c r="O191" s="12"/>
      <c r="P191" s="13" t="str">
        <f t="shared" ca="1" si="1"/>
        <v/>
      </c>
      <c r="Q191" s="13" t="str">
        <f t="shared" ca="1" si="2"/>
        <v/>
      </c>
      <c r="R191" s="8" t="str">
        <f>IF($C191="","",IF($O191="","Belum ada kontak",IF($P191&gt;Referensi!$P$8,"Segera follow up",IF($P191&gt;Referensi!$P$9,"Perlu dipantau","Terkini"))))</f>
        <v/>
      </c>
      <c r="S191" s="13" t="str">
        <f>IF($C191="","",IF(OR($L191="Selesai",$L191="Batal"),0,IF($Q191="",5,IF($Q191&lt;0,50,IF($Q191&lt;=Referensi!$P$5,40,IF($Q191&lt;=Referensi!$P$6,30,IF($Q191&lt;=Referensi!$P$7,20,10)))))+IF($O191="",25,IF($P191&gt;Referensi!$P$8,30,IF($P191&gt;Referensi!$P$9,20,5)))+IF($U191="",5,IF($U191&gt;=Referensi!$P$10,20,IF($U191&gt;=Referensi!$P$11,10,5)))+IF($L191="Tertunda",15,IF(OR($L191="Negosiasi",$L191="Penawaran"),12,IF($L191="Berjalan",8,IF($L191="Prospek",5,0))))))</f>
        <v/>
      </c>
      <c r="T191" s="8" t="str">
        <f>IF($C191="","",IF(OR($L191="Selesai",$L191="Batal"),"Tidak aktif",IF($S191&gt;=Referensi!$P$12,"KRITIS",IF($S191&gt;=Referensi!$P$13,"Tinggi",IF($S191&gt;=Referensi!$P$14,"Sedang","Rendah")))))</f>
        <v/>
      </c>
      <c r="U191" s="14"/>
      <c r="V191" s="15"/>
      <c r="W191" s="9" t="str">
        <f t="shared" si="3"/>
        <v/>
      </c>
    </row>
    <row r="192" spans="1:23" ht="31.5" customHeight="1">
      <c r="A192" s="8" t="str">
        <f t="shared" si="0"/>
        <v/>
      </c>
      <c r="B192" s="9" t="str">
        <f t="array" ref="B192">IF(OR($C192="",$I192="",$J192=""),"","JSI-"&amp;IFERROR(INDEX(Referensi!$B$5:$B$14,MATCH($I192,Referensi!$A$5:$A$14,0)),"???")&amp;"-"&amp;IFERROR(INDEX(Referensi!$E$5:$E$14,MATCH($J192,Referensi!$D$5:$D$14,0)),"???")&amp;"-"&amp;TEXT(COUNTIFS($I$5:$I192,$I192,$J$5:$J192,$J192),"000"))</f>
        <v/>
      </c>
      <c r="C192" s="10"/>
      <c r="D192" s="10"/>
      <c r="E192" s="10"/>
      <c r="F192" s="10"/>
      <c r="G192" s="10"/>
      <c r="H192" s="10"/>
      <c r="I192" s="10"/>
      <c r="J192" s="11"/>
      <c r="K192" s="10"/>
      <c r="L192" s="11"/>
      <c r="M192" s="12"/>
      <c r="N192" s="12"/>
      <c r="O192" s="12"/>
      <c r="P192" s="13" t="str">
        <f t="shared" ca="1" si="1"/>
        <v/>
      </c>
      <c r="Q192" s="13" t="str">
        <f t="shared" ca="1" si="2"/>
        <v/>
      </c>
      <c r="R192" s="8" t="str">
        <f>IF($C192="","",IF($O192="","Belum ada kontak",IF($P192&gt;Referensi!$P$8,"Segera follow up",IF($P192&gt;Referensi!$P$9,"Perlu dipantau","Terkini"))))</f>
        <v/>
      </c>
      <c r="S192" s="13" t="str">
        <f>IF($C192="","",IF(OR($L192="Selesai",$L192="Batal"),0,IF($Q192="",5,IF($Q192&lt;0,50,IF($Q192&lt;=Referensi!$P$5,40,IF($Q192&lt;=Referensi!$P$6,30,IF($Q192&lt;=Referensi!$P$7,20,10)))))+IF($O192="",25,IF($P192&gt;Referensi!$P$8,30,IF($P192&gt;Referensi!$P$9,20,5)))+IF($U192="",5,IF($U192&gt;=Referensi!$P$10,20,IF($U192&gt;=Referensi!$P$11,10,5)))+IF($L192="Tertunda",15,IF(OR($L192="Negosiasi",$L192="Penawaran"),12,IF($L192="Berjalan",8,IF($L192="Prospek",5,0))))))</f>
        <v/>
      </c>
      <c r="T192" s="8" t="str">
        <f>IF($C192="","",IF(OR($L192="Selesai",$L192="Batal"),"Tidak aktif",IF($S192&gt;=Referensi!$P$12,"KRITIS",IF($S192&gt;=Referensi!$P$13,"Tinggi",IF($S192&gt;=Referensi!$P$14,"Sedang","Rendah")))))</f>
        <v/>
      </c>
      <c r="U192" s="14"/>
      <c r="V192" s="15"/>
      <c r="W192" s="9" t="str">
        <f t="shared" si="3"/>
        <v/>
      </c>
    </row>
    <row r="193" spans="1:23" ht="31.5" customHeight="1">
      <c r="A193" s="8" t="str">
        <f t="shared" si="0"/>
        <v/>
      </c>
      <c r="B193" s="9" t="str">
        <f t="array" ref="B193">IF(OR($C193="",$I193="",$J193=""),"","JSI-"&amp;IFERROR(INDEX(Referensi!$B$5:$B$14,MATCH($I193,Referensi!$A$5:$A$14,0)),"???")&amp;"-"&amp;IFERROR(INDEX(Referensi!$E$5:$E$14,MATCH($J193,Referensi!$D$5:$D$14,0)),"???")&amp;"-"&amp;TEXT(COUNTIFS($I$5:$I193,$I193,$J$5:$J193,$J193),"000"))</f>
        <v/>
      </c>
      <c r="C193" s="10"/>
      <c r="D193" s="10"/>
      <c r="E193" s="10"/>
      <c r="F193" s="10"/>
      <c r="G193" s="10"/>
      <c r="H193" s="10"/>
      <c r="I193" s="10"/>
      <c r="J193" s="11"/>
      <c r="K193" s="10"/>
      <c r="L193" s="11"/>
      <c r="M193" s="12"/>
      <c r="N193" s="12"/>
      <c r="O193" s="12"/>
      <c r="P193" s="13" t="str">
        <f t="shared" ca="1" si="1"/>
        <v/>
      </c>
      <c r="Q193" s="13" t="str">
        <f t="shared" ca="1" si="2"/>
        <v/>
      </c>
      <c r="R193" s="8" t="str">
        <f>IF($C193="","",IF($O193="","Belum ada kontak",IF($P193&gt;Referensi!$P$8,"Segera follow up",IF($P193&gt;Referensi!$P$9,"Perlu dipantau","Terkini"))))</f>
        <v/>
      </c>
      <c r="S193" s="13" t="str">
        <f>IF($C193="","",IF(OR($L193="Selesai",$L193="Batal"),0,IF($Q193="",5,IF($Q193&lt;0,50,IF($Q193&lt;=Referensi!$P$5,40,IF($Q193&lt;=Referensi!$P$6,30,IF($Q193&lt;=Referensi!$P$7,20,10)))))+IF($O193="",25,IF($P193&gt;Referensi!$P$8,30,IF($P193&gt;Referensi!$P$9,20,5)))+IF($U193="",5,IF($U193&gt;=Referensi!$P$10,20,IF($U193&gt;=Referensi!$P$11,10,5)))+IF($L193="Tertunda",15,IF(OR($L193="Negosiasi",$L193="Penawaran"),12,IF($L193="Berjalan",8,IF($L193="Prospek",5,0))))))</f>
        <v/>
      </c>
      <c r="T193" s="8" t="str">
        <f>IF($C193="","",IF(OR($L193="Selesai",$L193="Batal"),"Tidak aktif",IF($S193&gt;=Referensi!$P$12,"KRITIS",IF($S193&gt;=Referensi!$P$13,"Tinggi",IF($S193&gt;=Referensi!$P$14,"Sedang","Rendah")))))</f>
        <v/>
      </c>
      <c r="U193" s="14"/>
      <c r="V193" s="15"/>
      <c r="W193" s="9" t="str">
        <f t="shared" si="3"/>
        <v/>
      </c>
    </row>
    <row r="194" spans="1:23" ht="31.5" customHeight="1">
      <c r="A194" s="8" t="str">
        <f t="shared" si="0"/>
        <v/>
      </c>
      <c r="B194" s="9" t="str">
        <f t="array" ref="B194">IF(OR($C194="",$I194="",$J194=""),"","JSI-"&amp;IFERROR(INDEX(Referensi!$B$5:$B$14,MATCH($I194,Referensi!$A$5:$A$14,0)),"???")&amp;"-"&amp;IFERROR(INDEX(Referensi!$E$5:$E$14,MATCH($J194,Referensi!$D$5:$D$14,0)),"???")&amp;"-"&amp;TEXT(COUNTIFS($I$5:$I194,$I194,$J$5:$J194,$J194),"000"))</f>
        <v/>
      </c>
      <c r="C194" s="10"/>
      <c r="D194" s="10"/>
      <c r="E194" s="10"/>
      <c r="F194" s="10"/>
      <c r="G194" s="10"/>
      <c r="H194" s="10"/>
      <c r="I194" s="10"/>
      <c r="J194" s="11"/>
      <c r="K194" s="10"/>
      <c r="L194" s="11"/>
      <c r="M194" s="12"/>
      <c r="N194" s="12"/>
      <c r="O194" s="12"/>
      <c r="P194" s="13" t="str">
        <f t="shared" ca="1" si="1"/>
        <v/>
      </c>
      <c r="Q194" s="13" t="str">
        <f t="shared" ca="1" si="2"/>
        <v/>
      </c>
      <c r="R194" s="8" t="str">
        <f>IF($C194="","",IF($O194="","Belum ada kontak",IF($P194&gt;Referensi!$P$8,"Segera follow up",IF($P194&gt;Referensi!$P$9,"Perlu dipantau","Terkini"))))</f>
        <v/>
      </c>
      <c r="S194" s="13" t="str">
        <f>IF($C194="","",IF(OR($L194="Selesai",$L194="Batal"),0,IF($Q194="",5,IF($Q194&lt;0,50,IF($Q194&lt;=Referensi!$P$5,40,IF($Q194&lt;=Referensi!$P$6,30,IF($Q194&lt;=Referensi!$P$7,20,10)))))+IF($O194="",25,IF($P194&gt;Referensi!$P$8,30,IF($P194&gt;Referensi!$P$9,20,5)))+IF($U194="",5,IF($U194&gt;=Referensi!$P$10,20,IF($U194&gt;=Referensi!$P$11,10,5)))+IF($L194="Tertunda",15,IF(OR($L194="Negosiasi",$L194="Penawaran"),12,IF($L194="Berjalan",8,IF($L194="Prospek",5,0))))))</f>
        <v/>
      </c>
      <c r="T194" s="8" t="str">
        <f>IF($C194="","",IF(OR($L194="Selesai",$L194="Batal"),"Tidak aktif",IF($S194&gt;=Referensi!$P$12,"KRITIS",IF($S194&gt;=Referensi!$P$13,"Tinggi",IF($S194&gt;=Referensi!$P$14,"Sedang","Rendah")))))</f>
        <v/>
      </c>
      <c r="U194" s="14"/>
      <c r="V194" s="15"/>
      <c r="W194" s="9" t="str">
        <f t="shared" si="3"/>
        <v/>
      </c>
    </row>
    <row r="195" spans="1:23" ht="31.5" customHeight="1">
      <c r="A195" s="8" t="str">
        <f t="shared" si="0"/>
        <v/>
      </c>
      <c r="B195" s="9" t="str">
        <f t="array" ref="B195">IF(OR($C195="",$I195="",$J195=""),"","JSI-"&amp;IFERROR(INDEX(Referensi!$B$5:$B$14,MATCH($I195,Referensi!$A$5:$A$14,0)),"???")&amp;"-"&amp;IFERROR(INDEX(Referensi!$E$5:$E$14,MATCH($J195,Referensi!$D$5:$D$14,0)),"???")&amp;"-"&amp;TEXT(COUNTIFS($I$5:$I195,$I195,$J$5:$J195,$J195),"000"))</f>
        <v/>
      </c>
      <c r="C195" s="10"/>
      <c r="D195" s="10"/>
      <c r="E195" s="10"/>
      <c r="F195" s="10"/>
      <c r="G195" s="10"/>
      <c r="H195" s="10"/>
      <c r="I195" s="10"/>
      <c r="J195" s="11"/>
      <c r="K195" s="10"/>
      <c r="L195" s="11"/>
      <c r="M195" s="12"/>
      <c r="N195" s="12"/>
      <c r="O195" s="12"/>
      <c r="P195" s="13" t="str">
        <f t="shared" ca="1" si="1"/>
        <v/>
      </c>
      <c r="Q195" s="13" t="str">
        <f t="shared" ca="1" si="2"/>
        <v/>
      </c>
      <c r="R195" s="8" t="str">
        <f>IF($C195="","",IF($O195="","Belum ada kontak",IF($P195&gt;Referensi!$P$8,"Segera follow up",IF($P195&gt;Referensi!$P$9,"Perlu dipantau","Terkini"))))</f>
        <v/>
      </c>
      <c r="S195" s="13" t="str">
        <f>IF($C195="","",IF(OR($L195="Selesai",$L195="Batal"),0,IF($Q195="",5,IF($Q195&lt;0,50,IF($Q195&lt;=Referensi!$P$5,40,IF($Q195&lt;=Referensi!$P$6,30,IF($Q195&lt;=Referensi!$P$7,20,10)))))+IF($O195="",25,IF($P195&gt;Referensi!$P$8,30,IF($P195&gt;Referensi!$P$9,20,5)))+IF($U195="",5,IF($U195&gt;=Referensi!$P$10,20,IF($U195&gt;=Referensi!$P$11,10,5)))+IF($L195="Tertunda",15,IF(OR($L195="Negosiasi",$L195="Penawaran"),12,IF($L195="Berjalan",8,IF($L195="Prospek",5,0))))))</f>
        <v/>
      </c>
      <c r="T195" s="8" t="str">
        <f>IF($C195="","",IF(OR($L195="Selesai",$L195="Batal"),"Tidak aktif",IF($S195&gt;=Referensi!$P$12,"KRITIS",IF($S195&gt;=Referensi!$P$13,"Tinggi",IF($S195&gt;=Referensi!$P$14,"Sedang","Rendah")))))</f>
        <v/>
      </c>
      <c r="U195" s="14"/>
      <c r="V195" s="15"/>
      <c r="W195" s="9" t="str">
        <f t="shared" si="3"/>
        <v/>
      </c>
    </row>
    <row r="196" spans="1:23" ht="31.5" customHeight="1">
      <c r="A196" s="8" t="str">
        <f t="shared" si="0"/>
        <v/>
      </c>
      <c r="B196" s="9" t="str">
        <f t="array" ref="B196">IF(OR($C196="",$I196="",$J196=""),"","JSI-"&amp;IFERROR(INDEX(Referensi!$B$5:$B$14,MATCH($I196,Referensi!$A$5:$A$14,0)),"???")&amp;"-"&amp;IFERROR(INDEX(Referensi!$E$5:$E$14,MATCH($J196,Referensi!$D$5:$D$14,0)),"???")&amp;"-"&amp;TEXT(COUNTIFS($I$5:$I196,$I196,$J$5:$J196,$J196),"000"))</f>
        <v/>
      </c>
      <c r="C196" s="10"/>
      <c r="D196" s="10"/>
      <c r="E196" s="10"/>
      <c r="F196" s="10"/>
      <c r="G196" s="10"/>
      <c r="H196" s="10"/>
      <c r="I196" s="10"/>
      <c r="J196" s="11"/>
      <c r="K196" s="10"/>
      <c r="L196" s="11"/>
      <c r="M196" s="12"/>
      <c r="N196" s="12"/>
      <c r="O196" s="12"/>
      <c r="P196" s="13" t="str">
        <f t="shared" ca="1" si="1"/>
        <v/>
      </c>
      <c r="Q196" s="13" t="str">
        <f t="shared" ca="1" si="2"/>
        <v/>
      </c>
      <c r="R196" s="8" t="str">
        <f>IF($C196="","",IF($O196="","Belum ada kontak",IF($P196&gt;Referensi!$P$8,"Segera follow up",IF($P196&gt;Referensi!$P$9,"Perlu dipantau","Terkini"))))</f>
        <v/>
      </c>
      <c r="S196" s="13" t="str">
        <f>IF($C196="","",IF(OR($L196="Selesai",$L196="Batal"),0,IF($Q196="",5,IF($Q196&lt;0,50,IF($Q196&lt;=Referensi!$P$5,40,IF($Q196&lt;=Referensi!$P$6,30,IF($Q196&lt;=Referensi!$P$7,20,10)))))+IF($O196="",25,IF($P196&gt;Referensi!$P$8,30,IF($P196&gt;Referensi!$P$9,20,5)))+IF($U196="",5,IF($U196&gt;=Referensi!$P$10,20,IF($U196&gt;=Referensi!$P$11,10,5)))+IF($L196="Tertunda",15,IF(OR($L196="Negosiasi",$L196="Penawaran"),12,IF($L196="Berjalan",8,IF($L196="Prospek",5,0))))))</f>
        <v/>
      </c>
      <c r="T196" s="8" t="str">
        <f>IF($C196="","",IF(OR($L196="Selesai",$L196="Batal"),"Tidak aktif",IF($S196&gt;=Referensi!$P$12,"KRITIS",IF($S196&gt;=Referensi!$P$13,"Tinggi",IF($S196&gt;=Referensi!$P$14,"Sedang","Rendah")))))</f>
        <v/>
      </c>
      <c r="U196" s="14"/>
      <c r="V196" s="15"/>
      <c r="W196" s="9" t="str">
        <f t="shared" si="3"/>
        <v/>
      </c>
    </row>
    <row r="197" spans="1:23" ht="31.5" customHeight="1">
      <c r="A197" s="8" t="str">
        <f t="shared" si="0"/>
        <v/>
      </c>
      <c r="B197" s="9" t="str">
        <f t="array" ref="B197">IF(OR($C197="",$I197="",$J197=""),"","JSI-"&amp;IFERROR(INDEX(Referensi!$B$5:$B$14,MATCH($I197,Referensi!$A$5:$A$14,0)),"???")&amp;"-"&amp;IFERROR(INDEX(Referensi!$E$5:$E$14,MATCH($J197,Referensi!$D$5:$D$14,0)),"???")&amp;"-"&amp;TEXT(COUNTIFS($I$5:$I197,$I197,$J$5:$J197,$J197),"000"))</f>
        <v/>
      </c>
      <c r="C197" s="10"/>
      <c r="D197" s="10"/>
      <c r="E197" s="10"/>
      <c r="F197" s="10"/>
      <c r="G197" s="10"/>
      <c r="H197" s="10"/>
      <c r="I197" s="10"/>
      <c r="J197" s="11"/>
      <c r="K197" s="10"/>
      <c r="L197" s="11"/>
      <c r="M197" s="12"/>
      <c r="N197" s="12"/>
      <c r="O197" s="12"/>
      <c r="P197" s="13" t="str">
        <f t="shared" ca="1" si="1"/>
        <v/>
      </c>
      <c r="Q197" s="13" t="str">
        <f t="shared" ca="1" si="2"/>
        <v/>
      </c>
      <c r="R197" s="8" t="str">
        <f>IF($C197="","",IF($O197="","Belum ada kontak",IF($P197&gt;Referensi!$P$8,"Segera follow up",IF($P197&gt;Referensi!$P$9,"Perlu dipantau","Terkini"))))</f>
        <v/>
      </c>
      <c r="S197" s="13" t="str">
        <f>IF($C197="","",IF(OR($L197="Selesai",$L197="Batal"),0,IF($Q197="",5,IF($Q197&lt;0,50,IF($Q197&lt;=Referensi!$P$5,40,IF($Q197&lt;=Referensi!$P$6,30,IF($Q197&lt;=Referensi!$P$7,20,10)))))+IF($O197="",25,IF($P197&gt;Referensi!$P$8,30,IF($P197&gt;Referensi!$P$9,20,5)))+IF($U197="",5,IF($U197&gt;=Referensi!$P$10,20,IF($U197&gt;=Referensi!$P$11,10,5)))+IF($L197="Tertunda",15,IF(OR($L197="Negosiasi",$L197="Penawaran"),12,IF($L197="Berjalan",8,IF($L197="Prospek",5,0))))))</f>
        <v/>
      </c>
      <c r="T197" s="8" t="str">
        <f>IF($C197="","",IF(OR($L197="Selesai",$L197="Batal"),"Tidak aktif",IF($S197&gt;=Referensi!$P$12,"KRITIS",IF($S197&gt;=Referensi!$P$13,"Tinggi",IF($S197&gt;=Referensi!$P$14,"Sedang","Rendah")))))</f>
        <v/>
      </c>
      <c r="U197" s="14"/>
      <c r="V197" s="15"/>
      <c r="W197" s="9" t="str">
        <f t="shared" si="3"/>
        <v/>
      </c>
    </row>
    <row r="198" spans="1:23" ht="31.5" customHeight="1">
      <c r="A198" s="8" t="str">
        <f t="shared" si="0"/>
        <v/>
      </c>
      <c r="B198" s="9" t="str">
        <f t="array" ref="B198">IF(OR($C198="",$I198="",$J198=""),"","JSI-"&amp;IFERROR(INDEX(Referensi!$B$5:$B$14,MATCH($I198,Referensi!$A$5:$A$14,0)),"???")&amp;"-"&amp;IFERROR(INDEX(Referensi!$E$5:$E$14,MATCH($J198,Referensi!$D$5:$D$14,0)),"???")&amp;"-"&amp;TEXT(COUNTIFS($I$5:$I198,$I198,$J$5:$J198,$J198),"000"))</f>
        <v/>
      </c>
      <c r="C198" s="10"/>
      <c r="D198" s="10"/>
      <c r="E198" s="10"/>
      <c r="F198" s="10"/>
      <c r="G198" s="10"/>
      <c r="H198" s="10"/>
      <c r="I198" s="10"/>
      <c r="J198" s="11"/>
      <c r="K198" s="10"/>
      <c r="L198" s="11"/>
      <c r="M198" s="12"/>
      <c r="N198" s="12"/>
      <c r="O198" s="12"/>
      <c r="P198" s="13" t="str">
        <f t="shared" ca="1" si="1"/>
        <v/>
      </c>
      <c r="Q198" s="13" t="str">
        <f t="shared" ca="1" si="2"/>
        <v/>
      </c>
      <c r="R198" s="8" t="str">
        <f>IF($C198="","",IF($O198="","Belum ada kontak",IF($P198&gt;Referensi!$P$8,"Segera follow up",IF($P198&gt;Referensi!$P$9,"Perlu dipantau","Terkini"))))</f>
        <v/>
      </c>
      <c r="S198" s="13" t="str">
        <f>IF($C198="","",IF(OR($L198="Selesai",$L198="Batal"),0,IF($Q198="",5,IF($Q198&lt;0,50,IF($Q198&lt;=Referensi!$P$5,40,IF($Q198&lt;=Referensi!$P$6,30,IF($Q198&lt;=Referensi!$P$7,20,10)))))+IF($O198="",25,IF($P198&gt;Referensi!$P$8,30,IF($P198&gt;Referensi!$P$9,20,5)))+IF($U198="",5,IF($U198&gt;=Referensi!$P$10,20,IF($U198&gt;=Referensi!$P$11,10,5)))+IF($L198="Tertunda",15,IF(OR($L198="Negosiasi",$L198="Penawaran"),12,IF($L198="Berjalan",8,IF($L198="Prospek",5,0))))))</f>
        <v/>
      </c>
      <c r="T198" s="8" t="str">
        <f>IF($C198="","",IF(OR($L198="Selesai",$L198="Batal"),"Tidak aktif",IF($S198&gt;=Referensi!$P$12,"KRITIS",IF($S198&gt;=Referensi!$P$13,"Tinggi",IF($S198&gt;=Referensi!$P$14,"Sedang","Rendah")))))</f>
        <v/>
      </c>
      <c r="U198" s="14"/>
      <c r="V198" s="15"/>
      <c r="W198" s="9" t="str">
        <f t="shared" si="3"/>
        <v/>
      </c>
    </row>
    <row r="199" spans="1:23" ht="31.5" customHeight="1">
      <c r="A199" s="8" t="str">
        <f t="shared" si="0"/>
        <v/>
      </c>
      <c r="B199" s="9" t="str">
        <f t="array" ref="B199">IF(OR($C199="",$I199="",$J199=""),"","JSI-"&amp;IFERROR(INDEX(Referensi!$B$5:$B$14,MATCH($I199,Referensi!$A$5:$A$14,0)),"???")&amp;"-"&amp;IFERROR(INDEX(Referensi!$E$5:$E$14,MATCH($J199,Referensi!$D$5:$D$14,0)),"???")&amp;"-"&amp;TEXT(COUNTIFS($I$5:$I199,$I199,$J$5:$J199,$J199),"000"))</f>
        <v/>
      </c>
      <c r="C199" s="10"/>
      <c r="D199" s="10"/>
      <c r="E199" s="10"/>
      <c r="F199" s="10"/>
      <c r="G199" s="10"/>
      <c r="H199" s="10"/>
      <c r="I199" s="10"/>
      <c r="J199" s="11"/>
      <c r="K199" s="10"/>
      <c r="L199" s="11"/>
      <c r="M199" s="12"/>
      <c r="N199" s="12"/>
      <c r="O199" s="12"/>
      <c r="P199" s="13" t="str">
        <f t="shared" ca="1" si="1"/>
        <v/>
      </c>
      <c r="Q199" s="13" t="str">
        <f t="shared" ca="1" si="2"/>
        <v/>
      </c>
      <c r="R199" s="8" t="str">
        <f>IF($C199="","",IF($O199="","Belum ada kontak",IF($P199&gt;Referensi!$P$8,"Segera follow up",IF($P199&gt;Referensi!$P$9,"Perlu dipantau","Terkini"))))</f>
        <v/>
      </c>
      <c r="S199" s="13" t="str">
        <f>IF($C199="","",IF(OR($L199="Selesai",$L199="Batal"),0,IF($Q199="",5,IF($Q199&lt;0,50,IF($Q199&lt;=Referensi!$P$5,40,IF($Q199&lt;=Referensi!$P$6,30,IF($Q199&lt;=Referensi!$P$7,20,10)))))+IF($O199="",25,IF($P199&gt;Referensi!$P$8,30,IF($P199&gt;Referensi!$P$9,20,5)))+IF($U199="",5,IF($U199&gt;=Referensi!$P$10,20,IF($U199&gt;=Referensi!$P$11,10,5)))+IF($L199="Tertunda",15,IF(OR($L199="Negosiasi",$L199="Penawaran"),12,IF($L199="Berjalan",8,IF($L199="Prospek",5,0))))))</f>
        <v/>
      </c>
      <c r="T199" s="8" t="str">
        <f>IF($C199="","",IF(OR($L199="Selesai",$L199="Batal"),"Tidak aktif",IF($S199&gt;=Referensi!$P$12,"KRITIS",IF($S199&gt;=Referensi!$P$13,"Tinggi",IF($S199&gt;=Referensi!$P$14,"Sedang","Rendah")))))</f>
        <v/>
      </c>
      <c r="U199" s="14"/>
      <c r="V199" s="15"/>
      <c r="W199" s="9" t="str">
        <f t="shared" si="3"/>
        <v/>
      </c>
    </row>
    <row r="200" spans="1:23" ht="31.5" customHeight="1">
      <c r="A200" s="8" t="str">
        <f t="shared" si="0"/>
        <v/>
      </c>
      <c r="B200" s="9" t="str">
        <f t="array" ref="B200">IF(OR($C200="",$I200="",$J200=""),"","JSI-"&amp;IFERROR(INDEX(Referensi!$B$5:$B$14,MATCH($I200,Referensi!$A$5:$A$14,0)),"???")&amp;"-"&amp;IFERROR(INDEX(Referensi!$E$5:$E$14,MATCH($J200,Referensi!$D$5:$D$14,0)),"???")&amp;"-"&amp;TEXT(COUNTIFS($I$5:$I200,$I200,$J$5:$J200,$J200),"000"))</f>
        <v/>
      </c>
      <c r="C200" s="10"/>
      <c r="D200" s="10"/>
      <c r="E200" s="10"/>
      <c r="F200" s="10"/>
      <c r="G200" s="10"/>
      <c r="H200" s="10"/>
      <c r="I200" s="10"/>
      <c r="J200" s="11"/>
      <c r="K200" s="10"/>
      <c r="L200" s="11"/>
      <c r="M200" s="12"/>
      <c r="N200" s="12"/>
      <c r="O200" s="12"/>
      <c r="P200" s="13" t="str">
        <f t="shared" ca="1" si="1"/>
        <v/>
      </c>
      <c r="Q200" s="13" t="str">
        <f t="shared" ca="1" si="2"/>
        <v/>
      </c>
      <c r="R200" s="8" t="str">
        <f>IF($C200="","",IF($O200="","Belum ada kontak",IF($P200&gt;Referensi!$P$8,"Segera follow up",IF($P200&gt;Referensi!$P$9,"Perlu dipantau","Terkini"))))</f>
        <v/>
      </c>
      <c r="S200" s="13" t="str">
        <f>IF($C200="","",IF(OR($L200="Selesai",$L200="Batal"),0,IF($Q200="",5,IF($Q200&lt;0,50,IF($Q200&lt;=Referensi!$P$5,40,IF($Q200&lt;=Referensi!$P$6,30,IF($Q200&lt;=Referensi!$P$7,20,10)))))+IF($O200="",25,IF($P200&gt;Referensi!$P$8,30,IF($P200&gt;Referensi!$P$9,20,5)))+IF($U200="",5,IF($U200&gt;=Referensi!$P$10,20,IF($U200&gt;=Referensi!$P$11,10,5)))+IF($L200="Tertunda",15,IF(OR($L200="Negosiasi",$L200="Penawaran"),12,IF($L200="Berjalan",8,IF($L200="Prospek",5,0))))))</f>
        <v/>
      </c>
      <c r="T200" s="8" t="str">
        <f>IF($C200="","",IF(OR($L200="Selesai",$L200="Batal"),"Tidak aktif",IF($S200&gt;=Referensi!$P$12,"KRITIS",IF($S200&gt;=Referensi!$P$13,"Tinggi",IF($S200&gt;=Referensi!$P$14,"Sedang","Rendah")))))</f>
        <v/>
      </c>
      <c r="U200" s="14"/>
      <c r="V200" s="15"/>
      <c r="W200" s="9" t="str">
        <f t="shared" si="3"/>
        <v/>
      </c>
    </row>
    <row r="201" spans="1:23" ht="31.5" customHeight="1">
      <c r="A201" s="8" t="str">
        <f t="shared" si="0"/>
        <v/>
      </c>
      <c r="B201" s="9" t="str">
        <f t="array" ref="B201">IF(OR($C201="",$I201="",$J201=""),"","JSI-"&amp;IFERROR(INDEX(Referensi!$B$5:$B$14,MATCH($I201,Referensi!$A$5:$A$14,0)),"???")&amp;"-"&amp;IFERROR(INDEX(Referensi!$E$5:$E$14,MATCH($J201,Referensi!$D$5:$D$14,0)),"???")&amp;"-"&amp;TEXT(COUNTIFS($I$5:$I201,$I201,$J$5:$J201,$J201),"000"))</f>
        <v/>
      </c>
      <c r="C201" s="10"/>
      <c r="D201" s="10"/>
      <c r="E201" s="10"/>
      <c r="F201" s="10"/>
      <c r="G201" s="10"/>
      <c r="H201" s="10"/>
      <c r="I201" s="10"/>
      <c r="J201" s="11"/>
      <c r="K201" s="10"/>
      <c r="L201" s="11"/>
      <c r="M201" s="12"/>
      <c r="N201" s="12"/>
      <c r="O201" s="12"/>
      <c r="P201" s="13" t="str">
        <f t="shared" ca="1" si="1"/>
        <v/>
      </c>
      <c r="Q201" s="13" t="str">
        <f t="shared" ca="1" si="2"/>
        <v/>
      </c>
      <c r="R201" s="8" t="str">
        <f>IF($C201="","",IF($O201="","Belum ada kontak",IF($P201&gt;Referensi!$P$8,"Segera follow up",IF($P201&gt;Referensi!$P$9,"Perlu dipantau","Terkini"))))</f>
        <v/>
      </c>
      <c r="S201" s="13" t="str">
        <f>IF($C201="","",IF(OR($L201="Selesai",$L201="Batal"),0,IF($Q201="",5,IF($Q201&lt;0,50,IF($Q201&lt;=Referensi!$P$5,40,IF($Q201&lt;=Referensi!$P$6,30,IF($Q201&lt;=Referensi!$P$7,20,10)))))+IF($O201="",25,IF($P201&gt;Referensi!$P$8,30,IF($P201&gt;Referensi!$P$9,20,5)))+IF($U201="",5,IF($U201&gt;=Referensi!$P$10,20,IF($U201&gt;=Referensi!$P$11,10,5)))+IF($L201="Tertunda",15,IF(OR($L201="Negosiasi",$L201="Penawaran"),12,IF($L201="Berjalan",8,IF($L201="Prospek",5,0))))))</f>
        <v/>
      </c>
      <c r="T201" s="8" t="str">
        <f>IF($C201="","",IF(OR($L201="Selesai",$L201="Batal"),"Tidak aktif",IF($S201&gt;=Referensi!$P$12,"KRITIS",IF($S201&gt;=Referensi!$P$13,"Tinggi",IF($S201&gt;=Referensi!$P$14,"Sedang","Rendah")))))</f>
        <v/>
      </c>
      <c r="U201" s="14"/>
      <c r="V201" s="15"/>
      <c r="W201" s="9" t="str">
        <f t="shared" si="3"/>
        <v/>
      </c>
    </row>
    <row r="202" spans="1:23" ht="31.5" customHeight="1">
      <c r="A202" s="8" t="str">
        <f t="shared" si="0"/>
        <v/>
      </c>
      <c r="B202" s="9" t="str">
        <f t="array" ref="B202">IF(OR($C202="",$I202="",$J202=""),"","JSI-"&amp;IFERROR(INDEX(Referensi!$B$5:$B$14,MATCH($I202,Referensi!$A$5:$A$14,0)),"???")&amp;"-"&amp;IFERROR(INDEX(Referensi!$E$5:$E$14,MATCH($J202,Referensi!$D$5:$D$14,0)),"???")&amp;"-"&amp;TEXT(COUNTIFS($I$5:$I202,$I202,$J$5:$J202,$J202),"000"))</f>
        <v/>
      </c>
      <c r="C202" s="10"/>
      <c r="D202" s="10"/>
      <c r="E202" s="10"/>
      <c r="F202" s="10"/>
      <c r="G202" s="10"/>
      <c r="H202" s="10"/>
      <c r="I202" s="10"/>
      <c r="J202" s="11"/>
      <c r="K202" s="10"/>
      <c r="L202" s="11"/>
      <c r="M202" s="12"/>
      <c r="N202" s="12"/>
      <c r="O202" s="12"/>
      <c r="P202" s="13" t="str">
        <f t="shared" ca="1" si="1"/>
        <v/>
      </c>
      <c r="Q202" s="13" t="str">
        <f t="shared" ca="1" si="2"/>
        <v/>
      </c>
      <c r="R202" s="8" t="str">
        <f>IF($C202="","",IF($O202="","Belum ada kontak",IF($P202&gt;Referensi!$P$8,"Segera follow up",IF($P202&gt;Referensi!$P$9,"Perlu dipantau","Terkini"))))</f>
        <v/>
      </c>
      <c r="S202" s="13" t="str">
        <f>IF($C202="","",IF(OR($L202="Selesai",$L202="Batal"),0,IF($Q202="",5,IF($Q202&lt;0,50,IF($Q202&lt;=Referensi!$P$5,40,IF($Q202&lt;=Referensi!$P$6,30,IF($Q202&lt;=Referensi!$P$7,20,10)))))+IF($O202="",25,IF($P202&gt;Referensi!$P$8,30,IF($P202&gt;Referensi!$P$9,20,5)))+IF($U202="",5,IF($U202&gt;=Referensi!$P$10,20,IF($U202&gt;=Referensi!$P$11,10,5)))+IF($L202="Tertunda",15,IF(OR($L202="Negosiasi",$L202="Penawaran"),12,IF($L202="Berjalan",8,IF($L202="Prospek",5,0))))))</f>
        <v/>
      </c>
      <c r="T202" s="8" t="str">
        <f>IF($C202="","",IF(OR($L202="Selesai",$L202="Batal"),"Tidak aktif",IF($S202&gt;=Referensi!$P$12,"KRITIS",IF($S202&gt;=Referensi!$P$13,"Tinggi",IF($S202&gt;=Referensi!$P$14,"Sedang","Rendah")))))</f>
        <v/>
      </c>
      <c r="U202" s="14"/>
      <c r="V202" s="15"/>
      <c r="W202" s="9" t="str">
        <f t="shared" si="3"/>
        <v/>
      </c>
    </row>
    <row r="203" spans="1:23" ht="31.5" customHeight="1">
      <c r="A203" s="8" t="str">
        <f t="shared" si="0"/>
        <v/>
      </c>
      <c r="B203" s="9" t="str">
        <f t="array" ref="B203">IF(OR($C203="",$I203="",$J203=""),"","JSI-"&amp;IFERROR(INDEX(Referensi!$B$5:$B$14,MATCH($I203,Referensi!$A$5:$A$14,0)),"???")&amp;"-"&amp;IFERROR(INDEX(Referensi!$E$5:$E$14,MATCH($J203,Referensi!$D$5:$D$14,0)),"???")&amp;"-"&amp;TEXT(COUNTIFS($I$5:$I203,$I203,$J$5:$J203,$J203),"000"))</f>
        <v/>
      </c>
      <c r="C203" s="10"/>
      <c r="D203" s="10"/>
      <c r="E203" s="10"/>
      <c r="F203" s="10"/>
      <c r="G203" s="10"/>
      <c r="H203" s="10"/>
      <c r="I203" s="10"/>
      <c r="J203" s="11"/>
      <c r="K203" s="10"/>
      <c r="L203" s="11"/>
      <c r="M203" s="12"/>
      <c r="N203" s="12"/>
      <c r="O203" s="12"/>
      <c r="P203" s="13" t="str">
        <f t="shared" ca="1" si="1"/>
        <v/>
      </c>
      <c r="Q203" s="13" t="str">
        <f t="shared" ca="1" si="2"/>
        <v/>
      </c>
      <c r="R203" s="8" t="str">
        <f>IF($C203="","",IF($O203="","Belum ada kontak",IF($P203&gt;Referensi!$P$8,"Segera follow up",IF($P203&gt;Referensi!$P$9,"Perlu dipantau","Terkini"))))</f>
        <v/>
      </c>
      <c r="S203" s="13" t="str">
        <f>IF($C203="","",IF(OR($L203="Selesai",$L203="Batal"),0,IF($Q203="",5,IF($Q203&lt;0,50,IF($Q203&lt;=Referensi!$P$5,40,IF($Q203&lt;=Referensi!$P$6,30,IF($Q203&lt;=Referensi!$P$7,20,10)))))+IF($O203="",25,IF($P203&gt;Referensi!$P$8,30,IF($P203&gt;Referensi!$P$9,20,5)))+IF($U203="",5,IF($U203&gt;=Referensi!$P$10,20,IF($U203&gt;=Referensi!$P$11,10,5)))+IF($L203="Tertunda",15,IF(OR($L203="Negosiasi",$L203="Penawaran"),12,IF($L203="Berjalan",8,IF($L203="Prospek",5,0))))))</f>
        <v/>
      </c>
      <c r="T203" s="8" t="str">
        <f>IF($C203="","",IF(OR($L203="Selesai",$L203="Batal"),"Tidak aktif",IF($S203&gt;=Referensi!$P$12,"KRITIS",IF($S203&gt;=Referensi!$P$13,"Tinggi",IF($S203&gt;=Referensi!$P$14,"Sedang","Rendah")))))</f>
        <v/>
      </c>
      <c r="U203" s="14"/>
      <c r="V203" s="15"/>
      <c r="W203" s="9" t="str">
        <f t="shared" si="3"/>
        <v/>
      </c>
    </row>
    <row r="204" spans="1:23" ht="31.5" customHeight="1">
      <c r="A204" s="8" t="str">
        <f t="shared" si="0"/>
        <v/>
      </c>
      <c r="B204" s="9" t="str">
        <f t="array" ref="B204">IF(OR($C204="",$I204="",$J204=""),"","JSI-"&amp;IFERROR(INDEX(Referensi!$B$5:$B$14,MATCH($I204,Referensi!$A$5:$A$14,0)),"???")&amp;"-"&amp;IFERROR(INDEX(Referensi!$E$5:$E$14,MATCH($J204,Referensi!$D$5:$D$14,0)),"???")&amp;"-"&amp;TEXT(COUNTIFS($I$5:$I204,$I204,$J$5:$J204,$J204),"000"))</f>
        <v/>
      </c>
      <c r="C204" s="10"/>
      <c r="D204" s="10"/>
      <c r="E204" s="10"/>
      <c r="F204" s="10"/>
      <c r="G204" s="10"/>
      <c r="H204" s="10"/>
      <c r="I204" s="10"/>
      <c r="J204" s="11"/>
      <c r="K204" s="10"/>
      <c r="L204" s="11"/>
      <c r="M204" s="12"/>
      <c r="N204" s="12"/>
      <c r="O204" s="12"/>
      <c r="P204" s="13" t="str">
        <f t="shared" ca="1" si="1"/>
        <v/>
      </c>
      <c r="Q204" s="13" t="str">
        <f t="shared" ca="1" si="2"/>
        <v/>
      </c>
      <c r="R204" s="8" t="str">
        <f>IF($C204="","",IF($O204="","Belum ada kontak",IF($P204&gt;Referensi!$P$8,"Segera follow up",IF($P204&gt;Referensi!$P$9,"Perlu dipantau","Terkini"))))</f>
        <v/>
      </c>
      <c r="S204" s="13" t="str">
        <f>IF($C204="","",IF(OR($L204="Selesai",$L204="Batal"),0,IF($Q204="",5,IF($Q204&lt;0,50,IF($Q204&lt;=Referensi!$P$5,40,IF($Q204&lt;=Referensi!$P$6,30,IF($Q204&lt;=Referensi!$P$7,20,10)))))+IF($O204="",25,IF($P204&gt;Referensi!$P$8,30,IF($P204&gt;Referensi!$P$9,20,5)))+IF($U204="",5,IF($U204&gt;=Referensi!$P$10,20,IF($U204&gt;=Referensi!$P$11,10,5)))+IF($L204="Tertunda",15,IF(OR($L204="Negosiasi",$L204="Penawaran"),12,IF($L204="Berjalan",8,IF($L204="Prospek",5,0))))))</f>
        <v/>
      </c>
      <c r="T204" s="8" t="str">
        <f>IF($C204="","",IF(OR($L204="Selesai",$L204="Batal"),"Tidak aktif",IF($S204&gt;=Referensi!$P$12,"KRITIS",IF($S204&gt;=Referensi!$P$13,"Tinggi",IF($S204&gt;=Referensi!$P$14,"Sedang","Rendah")))))</f>
        <v/>
      </c>
      <c r="U204" s="14"/>
      <c r="V204" s="15"/>
      <c r="W204" s="9" t="str">
        <f t="shared" si="3"/>
        <v/>
      </c>
    </row>
    <row r="205" spans="1:23" ht="15.75" customHeight="1"/>
    <row r="206" spans="1:23" ht="15.75" customHeight="1"/>
    <row r="207" spans="1:23" ht="15.75" customHeight="1"/>
    <row r="208" spans="1:2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V204" xr:uid="{00000000-0009-0000-0000-000002000000}"/>
  <mergeCells count="2">
    <mergeCell ref="A1:V1"/>
    <mergeCell ref="A2:V2"/>
  </mergeCells>
  <conditionalFormatting sqref="B5:V204">
    <cfRule type="expression" dxfId="10" priority="1">
      <formula>$T5="KRITIS"</formula>
    </cfRule>
  </conditionalFormatting>
  <conditionalFormatting sqref="Q5:Q204">
    <cfRule type="cellIs" dxfId="9" priority="2" operator="lessThan">
      <formula>0</formula>
    </cfRule>
  </conditionalFormatting>
  <conditionalFormatting sqref="R5:R204">
    <cfRule type="cellIs" dxfId="8" priority="3" operator="equal">
      <formula>"Segera follow up"</formula>
    </cfRule>
    <cfRule type="cellIs" dxfId="7" priority="4" operator="equal">
      <formula>"Perlu dipantau"</formula>
    </cfRule>
    <cfRule type="cellIs" dxfId="6" priority="5" operator="equal">
      <formula>"Terkini"</formula>
    </cfRule>
    <cfRule type="cellIs" dxfId="5" priority="6" operator="equal">
      <formula>"Belum ada kontak"</formula>
    </cfRule>
  </conditionalFormatting>
  <conditionalFormatting sqref="T5:T204">
    <cfRule type="cellIs" dxfId="4" priority="7" operator="equal">
      <formula>"KRITIS"</formula>
    </cfRule>
    <cfRule type="cellIs" dxfId="3" priority="8" operator="equal">
      <formula>"Tinggi"</formula>
    </cfRule>
    <cfRule type="cellIs" dxfId="2" priority="9" operator="equal">
      <formula>"Sedang"</formula>
    </cfRule>
    <cfRule type="cellIs" dxfId="1" priority="10" operator="equal">
      <formula>"Rendah"</formula>
    </cfRule>
    <cfRule type="cellIs" dxfId="0" priority="11" operator="equal">
      <formula>"Tidak aktif"</formula>
    </cfRule>
  </conditionalFormatting>
  <dataValidations count="1">
    <dataValidation type="date" operator="greaterThan" allowBlank="1" sqref="M5:O204" xr:uid="{00000000-0002-0000-0200-000000000000}">
      <formula1>DATE(2000,1,1)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200-000001000000}">
          <x14:formula1>
            <xm:f>Referensi!$A$5:$A$14</xm:f>
          </x14:formula1>
          <xm:sqref>I5:I204</xm:sqref>
        </x14:dataValidation>
        <x14:dataValidation type="list" allowBlank="1" xr:uid="{00000000-0002-0000-0200-000002000000}">
          <x14:formula1>
            <xm:f>Referensi!$G$5:$G$34</xm:f>
          </x14:formula1>
          <xm:sqref>K5:K204</xm:sqref>
        </x14:dataValidation>
        <x14:dataValidation type="list" allowBlank="1" xr:uid="{00000000-0002-0000-0200-000003000000}">
          <x14:formula1>
            <xm:f>Referensi!$D$5:$D$14</xm:f>
          </x14:formula1>
          <xm:sqref>J5:J204</xm:sqref>
        </x14:dataValidation>
        <x14:dataValidation type="list" allowBlank="1" xr:uid="{00000000-0002-0000-0200-000004000000}">
          <x14:formula1>
            <xm:f>Referensi!$I$5:$I$24</xm:f>
          </x14:formula1>
          <xm:sqref>L5:L204</xm:sqref>
        </x14:dataValidation>
        <x14:dataValidation type="list" allowBlank="1" xr:uid="{00000000-0002-0000-0200-000005000000}">
          <x14:formula1>
            <xm:f>Referensi!$K$5:$K$24</xm:f>
          </x14:formula1>
          <xm:sqref>H5:H204</xm:sqref>
        </x14:dataValidation>
        <x14:dataValidation type="list" allowBlank="1" xr:uid="{00000000-0002-0000-0200-000006000000}">
          <x14:formula1>
            <xm:f>Referensi!$M$5:$M$34</xm:f>
          </x14:formula1>
          <xm:sqref>D5:D204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BB92-146D-4542-BD99-BE24889E61C2}">
  <dimension ref="A1:P7"/>
  <sheetViews>
    <sheetView tabSelected="1" workbookViewId="0">
      <pane ySplit="4" topLeftCell="A5" activePane="bottomLeft" state="frozen"/>
      <selection pane="bottomLeft" activeCell="C38" sqref="C38"/>
    </sheetView>
  </sheetViews>
  <sheetFormatPr defaultRowHeight="15"/>
  <cols>
    <col min="1" max="1" width="5.7109375" customWidth="1"/>
    <col min="2" max="2" width="21" customWidth="1"/>
    <col min="3" max="4" width="28.5703125" customWidth="1"/>
    <col min="5" max="6" width="19" customWidth="1"/>
    <col min="7" max="7" width="15.28515625" customWidth="1"/>
    <col min="8" max="9" width="19" customWidth="1"/>
    <col min="10" max="10" width="17.140625" customWidth="1"/>
    <col min="11" max="11" width="19" customWidth="1"/>
    <col min="12" max="12" width="11.42578125" customWidth="1"/>
    <col min="13" max="13" width="24" bestFit="1" customWidth="1"/>
    <col min="14" max="14" width="23.28515625" bestFit="1" customWidth="1"/>
    <col min="15" max="16" width="21" customWidth="1"/>
  </cols>
  <sheetData>
    <row r="1" spans="1:16" ht="19.5">
      <c r="A1" s="2" t="s">
        <v>222</v>
      </c>
    </row>
    <row r="2" spans="1:16">
      <c r="A2" s="3" t="s">
        <v>223</v>
      </c>
    </row>
    <row r="4" spans="1:16">
      <c r="A4" s="43" t="s">
        <v>12</v>
      </c>
      <c r="B4" s="43" t="s">
        <v>15</v>
      </c>
      <c r="C4" s="43" t="s">
        <v>16</v>
      </c>
      <c r="D4" s="43" t="s">
        <v>11</v>
      </c>
      <c r="E4" s="43" t="s">
        <v>212</v>
      </c>
      <c r="F4" s="43" t="s">
        <v>213</v>
      </c>
      <c r="G4" s="43" t="s">
        <v>27</v>
      </c>
      <c r="H4" s="43" t="s">
        <v>47</v>
      </c>
      <c r="I4" s="43" t="s">
        <v>224</v>
      </c>
      <c r="J4" s="43" t="s">
        <v>225</v>
      </c>
      <c r="K4" s="43" t="s">
        <v>226</v>
      </c>
      <c r="L4" s="43" t="s">
        <v>227</v>
      </c>
      <c r="M4" s="43" t="s">
        <v>228</v>
      </c>
      <c r="N4" s="43" t="s">
        <v>229</v>
      </c>
      <c r="O4" s="43" t="s">
        <v>230</v>
      </c>
      <c r="P4" s="43" t="s">
        <v>231</v>
      </c>
    </row>
    <row r="5" spans="1:16">
      <c r="A5" s="44" cm="1">
        <f t="array" ref="A5:A7">IFERROR(_xlfn._xlws.FILTER('Data Proyek'!$A$5:$A$204,'Data Proyek'!$L$5:$L$204="Berjalan"),"")</f>
        <v>1</v>
      </c>
      <c r="B5" s="44" t="str" cm="1">
        <f t="array" ref="B5:B7">IFERROR(_xlfn._xlws.FILTER('Data Proyek'!$B$5:$B$204,'Data Proyek'!$L$5:$L$204="Berjalan"),"")</f>
        <v>JSI-ENT-RIS-001</v>
      </c>
      <c r="C5" s="44" t="str" cm="1">
        <f t="array" ref="C5:C7">IFERROR(_xlfn._xlws.FILTER('Data Proyek'!$C$5:$C$204,'Data Proyek'!$L$5:$L$204="Berjalan"),"")</f>
        <v>Riset Carbon Stock</v>
      </c>
      <c r="D5" s="44" t="str" cm="1">
        <f t="array" ref="D5:D7">IFERROR(_xlfn._xlws.FILTER('Data Proyek'!$D$5:$D$204,'Data Proyek'!$L$5:$L$204="Berjalan"),"")</f>
        <v>Undip</v>
      </c>
      <c r="E5" s="44" t="str" cm="1">
        <f t="array" ref="E5:E7">IFERROR(IF(_xlfn._xlws.FILTER('Data Proyek'!$E$5:$E$204,'Data Proyek'!$L$5:$L$204="Berjalan")=0,"",_xlfn._xlws.FILTER('Data Proyek'!$E$5:$E$204,'Data Proyek'!$L$5:$L$204="Berjalan")),"")</f>
        <v/>
      </c>
      <c r="F5" s="44" t="str" cm="1">
        <f t="array" ref="F5:F7">IFERROR(IF(_xlfn._xlws.FILTER('Data Proyek'!$F$5:$F$204,'Data Proyek'!$L$5:$L$204="Berjalan")=0,"",_xlfn._xlws.FILTER('Data Proyek'!$F$5:$F$204,'Data Proyek'!$L$5:$L$204="Berjalan")),"")</f>
        <v/>
      </c>
      <c r="G5" s="44" t="str" cm="1">
        <f t="array" ref="G5:G7">IFERROR(_xlfn._xlws.FILTER('Data Proyek'!$K$5:$K$204,'Data Proyek'!$L$5:$L$204="Berjalan"),"")</f>
        <v>Harir</v>
      </c>
      <c r="H5" s="45" cm="1">
        <f t="array" ref="H5:H7">IFERROR(_xlfn._xlws.FILTER('Data Proyek'!$U$5:$U$204,'Data Proyek'!$L$5:$L$204="Berjalan"),"")</f>
        <v>0</v>
      </c>
      <c r="I5" s="46"/>
      <c r="J5" s="47"/>
      <c r="K5" s="48"/>
      <c r="L5" s="49"/>
      <c r="M5" s="46"/>
      <c r="N5" s="48"/>
      <c r="O5" s="48"/>
      <c r="P5" s="50" t="str">
        <f>IF($C5="","",IF(OR($K5="",$N5="",$O5=""),"",$K5-$N5-$O5))</f>
        <v/>
      </c>
    </row>
    <row r="6" spans="1:16">
      <c r="A6" s="44">
        <v>2</v>
      </c>
      <c r="B6" s="44" t="str">
        <v>JSI-ENT-RIS-002</v>
      </c>
      <c r="C6" s="44" t="str">
        <v>MOU ITERA</v>
      </c>
      <c r="D6" s="44" t="str">
        <v>ITERA</v>
      </c>
      <c r="E6" s="44" t="str">
        <v>Ulin</v>
      </c>
      <c r="F6" s="44" t="str">
        <v/>
      </c>
      <c r="G6" s="44" t="str">
        <v>Harir</v>
      </c>
      <c r="H6" s="45">
        <v>0</v>
      </c>
      <c r="I6" s="46"/>
      <c r="J6" s="47"/>
      <c r="K6" s="48"/>
      <c r="L6" s="49"/>
      <c r="M6" s="46"/>
      <c r="N6" s="48"/>
      <c r="O6" s="48"/>
      <c r="P6" s="50" t="str">
        <f t="shared" ref="P6:P7" si="0">IF($C6="","",IF(OR($K6="",$N6="",$O6=""),"",$K6-$N6-$O6))</f>
        <v/>
      </c>
    </row>
    <row r="7" spans="1:16">
      <c r="A7" s="44">
        <v>3</v>
      </c>
      <c r="B7" s="44" t="str">
        <v>JSI-ENT-JAS-001</v>
      </c>
      <c r="C7" s="44" t="str">
        <v xml:space="preserve">Batas Lahan dan Situasi </v>
      </c>
      <c r="D7" s="44" t="str">
        <v>PT Pertamina Zona 4 Prabumulih</v>
      </c>
      <c r="E7" s="44" t="str">
        <v>Ilham habibie</v>
      </c>
      <c r="F7" s="44" t="str">
        <v>085210207730</v>
      </c>
      <c r="G7" s="44" t="str">
        <v>Rika</v>
      </c>
      <c r="H7" s="45">
        <v>152100000</v>
      </c>
      <c r="I7" s="46"/>
      <c r="J7" s="47"/>
      <c r="K7" s="48"/>
      <c r="L7" s="49"/>
      <c r="M7" s="46"/>
      <c r="N7" s="48"/>
      <c r="O7" s="48"/>
      <c r="P7" s="50" t="str">
        <f t="shared" si="0"/>
        <v/>
      </c>
    </row>
  </sheetData>
  <dataValidations count="1">
    <dataValidation type="list" allowBlank="1" showInputMessage="1" showErrorMessage="1" sqref="M5:M7" xr:uid="{654488B0-AAB7-4203-8A58-9F3217E89BBE}">
      <formula1>"PKP,Non PKP"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Referensi</vt:lpstr>
      <vt:lpstr>Data Proyek</vt:lpstr>
      <vt:lpstr>Kontrak Berjalan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 Harir</cp:lastModifiedBy>
  <dcterms:created xsi:type="dcterms:W3CDTF">2026-08-28T02:47:24Z</dcterms:created>
  <dcterms:modified xsi:type="dcterms:W3CDTF">2026-08-28T10:16:03Z</dcterms:modified>
</cp:coreProperties>
</file>